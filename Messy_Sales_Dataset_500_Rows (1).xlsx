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mc:AlternateContent xmlns:mc="http://schemas.openxmlformats.org/markup-compatibility/2006">
    <mc:Choice Requires="x15">
      <x15ac:absPath xmlns:x15ac="http://schemas.microsoft.com/office/spreadsheetml/2010/11/ac" url="https://d.docs.live.net/ee671ea7f67373c5/Documents/"/>
    </mc:Choice>
  </mc:AlternateContent>
  <xr:revisionPtr revIDLastSave="2" documentId="8_{13F09A23-5301-4D4B-B7CD-EC6337E68EE7}" xr6:coauthVersionLast="45" xr6:coauthVersionMax="45" xr10:uidLastSave="{F582C7C4-750A-4A6A-8F7E-8E2F50012C3F}"/>
  <bookViews>
    <workbookView xWindow="-110" yWindow="-110" windowWidth="19420" windowHeight="10300" activeTab="3" xr2:uid="{00000000-000D-0000-FFFF-FFFF00000000}"/>
  </bookViews>
  <sheets>
    <sheet name="Messy Sales_Data" sheetId="1" r:id="rId1"/>
    <sheet name="Data Cleaning" sheetId="2" r:id="rId2"/>
    <sheet name="Analysis" sheetId="3" r:id="rId3"/>
    <sheet name="Dashboard" sheetId="4" r:id="rId4"/>
  </sheets>
  <definedNames>
    <definedName name="CleanedData">'Data Cleaning'!$L$101</definedName>
    <definedName name="kishd">'Data Cleaning'!$L$101</definedName>
    <definedName name="Slicer_Category">#N/A</definedName>
    <definedName name="Slicer_Date">#N/A</definedName>
    <definedName name="Slicer_Product">#N/A</definedName>
    <definedName name="Slicer_Quantity">#N/A</definedName>
    <definedName name="Slicer_Region">#N/A</definedName>
  </definedNames>
  <calcPr calcId="181029"/>
  <pivotCaches>
    <pivotCache cacheId="56"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3" i="4" l="1"/>
  <c r="B3" i="4"/>
  <c r="E3" i="4"/>
  <c r="A90"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3" i="2"/>
</calcChain>
</file>

<file path=xl/sharedStrings.xml><?xml version="1.0" encoding="utf-8"?>
<sst xmlns="http://schemas.openxmlformats.org/spreadsheetml/2006/main" count="5137" uniqueCount="966">
  <si>
    <t>Order ID</t>
  </si>
  <si>
    <t>Date</t>
  </si>
  <si>
    <t>Product</t>
  </si>
  <si>
    <t>Category</t>
  </si>
  <si>
    <t>Quantity</t>
  </si>
  <si>
    <t>Unit Price</t>
  </si>
  <si>
    <t>Total Sales</t>
  </si>
  <si>
    <t>Region</t>
  </si>
  <si>
    <t>Sales Rep</t>
  </si>
  <si>
    <t>ORD0001</t>
  </si>
  <si>
    <t>01/01/2026</t>
  </si>
  <si>
    <t>Pasta</t>
  </si>
  <si>
    <t>Food</t>
  </si>
  <si>
    <t>Benin</t>
  </si>
  <si>
    <t>Esther</t>
  </si>
  <si>
    <t>ORD0002</t>
  </si>
  <si>
    <t>02/01/2026</t>
  </si>
  <si>
    <t>Rice</t>
  </si>
  <si>
    <t>Abuja</t>
  </si>
  <si>
    <t>ORD0003</t>
  </si>
  <si>
    <t>03/01/2026</t>
  </si>
  <si>
    <t>Beverage</t>
  </si>
  <si>
    <t>Drinks</t>
  </si>
  <si>
    <t>1000</t>
  </si>
  <si>
    <t>Aba</t>
  </si>
  <si>
    <t>Grace</t>
  </si>
  <si>
    <t>ORD0004</t>
  </si>
  <si>
    <t>04/01/2026</t>
  </si>
  <si>
    <t>Sugar</t>
  </si>
  <si>
    <t>Grocery</t>
  </si>
  <si>
    <t>Ibadan</t>
  </si>
  <si>
    <t>Michael</t>
  </si>
  <si>
    <t>ORD0005</t>
  </si>
  <si>
    <t>05/01/2026</t>
  </si>
  <si>
    <t>Oil</t>
  </si>
  <si>
    <t>ORD0006</t>
  </si>
  <si>
    <t>06/01/2026</t>
  </si>
  <si>
    <t>milk</t>
  </si>
  <si>
    <t>Dairy</t>
  </si>
  <si>
    <t>Jos</t>
  </si>
  <si>
    <t>Aisha</t>
  </si>
  <si>
    <t>ORD0007</t>
  </si>
  <si>
    <t>07/01/2026</t>
  </si>
  <si>
    <t>Kano</t>
  </si>
  <si>
    <t>ORD0008</t>
  </si>
  <si>
    <t>08/01/2026</t>
  </si>
  <si>
    <t>1800</t>
  </si>
  <si>
    <t>Uyo</t>
  </si>
  <si>
    <t>ORD0009</t>
  </si>
  <si>
    <t>09/01/2026</t>
  </si>
  <si>
    <t>Beans</t>
  </si>
  <si>
    <t>ORD0010</t>
  </si>
  <si>
    <t>10/01/2026</t>
  </si>
  <si>
    <t>Enugu</t>
  </si>
  <si>
    <t>Peter</t>
  </si>
  <si>
    <t>ORD0011</t>
  </si>
  <si>
    <t>11/01/2026</t>
  </si>
  <si>
    <t>3000</t>
  </si>
  <si>
    <t>ORD0012</t>
  </si>
  <si>
    <t>12/01/2026</t>
  </si>
  <si>
    <t>Milk</t>
  </si>
  <si>
    <t>ORD0013</t>
  </si>
  <si>
    <t>13/01/2026</t>
  </si>
  <si>
    <t>Chioma</t>
  </si>
  <si>
    <t>ORD0014</t>
  </si>
  <si>
    <t>14/01/2026</t>
  </si>
  <si>
    <t>Samuel</t>
  </si>
  <si>
    <t>ORD0015</t>
  </si>
  <si>
    <t>15/01/2026</t>
  </si>
  <si>
    <t>5500</t>
  </si>
  <si>
    <t>ORD0016</t>
  </si>
  <si>
    <t>16/01/2026</t>
  </si>
  <si>
    <t>Port Harcourt</t>
  </si>
  <si>
    <t>David</t>
  </si>
  <si>
    <t>ORD0017</t>
  </si>
  <si>
    <t>17/01/2026</t>
  </si>
  <si>
    <t>John</t>
  </si>
  <si>
    <t>ORD0018</t>
  </si>
  <si>
    <t>18/01/2026</t>
  </si>
  <si>
    <t>Lagos</t>
  </si>
  <si>
    <t>ORD0019</t>
  </si>
  <si>
    <t>19/01/2026</t>
  </si>
  <si>
    <t>ORD0020</t>
  </si>
  <si>
    <t>20/01/2026</t>
  </si>
  <si>
    <t>ORD0021</t>
  </si>
  <si>
    <t>21/01/2026</t>
  </si>
  <si>
    <t>beverage</t>
  </si>
  <si>
    <t>ORD0022</t>
  </si>
  <si>
    <t>22/01/2026</t>
  </si>
  <si>
    <t>Bread</t>
  </si>
  <si>
    <t>Bakery</t>
  </si>
  <si>
    <t>ORD0023</t>
  </si>
  <si>
    <t>23/01/2026</t>
  </si>
  <si>
    <t>ORD0024</t>
  </si>
  <si>
    <t>24/01/2026</t>
  </si>
  <si>
    <t>1200</t>
  </si>
  <si>
    <t>25/01/2026</t>
  </si>
  <si>
    <t>ORD0026</t>
  </si>
  <si>
    <t>26/01/2026</t>
  </si>
  <si>
    <t>ORD0027</t>
  </si>
  <si>
    <t>27/01/2026</t>
  </si>
  <si>
    <t>ORD0028</t>
  </si>
  <si>
    <t>28/01/2026</t>
  </si>
  <si>
    <t>Owerri</t>
  </si>
  <si>
    <t>ORD0029</t>
  </si>
  <si>
    <t>29/01/2026</t>
  </si>
  <si>
    <t>sugar</t>
  </si>
  <si>
    <t>Mary</t>
  </si>
  <si>
    <t>ORD0030</t>
  </si>
  <si>
    <t>30/01/2026</t>
  </si>
  <si>
    <t>ORD0031</t>
  </si>
  <si>
    <t>31/01/2026</t>
  </si>
  <si>
    <t>food</t>
  </si>
  <si>
    <t>ORD0032</t>
  </si>
  <si>
    <t>01/02/2026</t>
  </si>
  <si>
    <t>ORD0033</t>
  </si>
  <si>
    <t>02/02/2026</t>
  </si>
  <si>
    <t>ORD0034</t>
  </si>
  <si>
    <t>03/02/2026</t>
  </si>
  <si>
    <t>ORD0035</t>
  </si>
  <si>
    <t>04/02/2026</t>
  </si>
  <si>
    <t>ORD0036</t>
  </si>
  <si>
    <t>05/02/2026</t>
  </si>
  <si>
    <t>Kaduna</t>
  </si>
  <si>
    <t>ORD0037</t>
  </si>
  <si>
    <t>06/02/2026</t>
  </si>
  <si>
    <t>ORD0038</t>
  </si>
  <si>
    <t>07/02/2026</t>
  </si>
  <si>
    <t>ORD0039</t>
  </si>
  <si>
    <t>08/02/2026</t>
  </si>
  <si>
    <t>ORD0040</t>
  </si>
  <si>
    <t>09/02/2026</t>
  </si>
  <si>
    <t>ORD0041</t>
  </si>
  <si>
    <t>10/02/2026</t>
  </si>
  <si>
    <t>ORD0042</t>
  </si>
  <si>
    <t>11/02/2026</t>
  </si>
  <si>
    <t>ORD0043</t>
  </si>
  <si>
    <t>12/02/2026</t>
  </si>
  <si>
    <t>13/02/2026</t>
  </si>
  <si>
    <t>ORD0045</t>
  </si>
  <si>
    <t>14/02/2026</t>
  </si>
  <si>
    <t>ORD0046</t>
  </si>
  <si>
    <t>15/02/2026</t>
  </si>
  <si>
    <t>ORD0047</t>
  </si>
  <si>
    <t>2026-02-16</t>
  </si>
  <si>
    <t>2026-02-17</t>
  </si>
  <si>
    <t>rice</t>
  </si>
  <si>
    <t>ORD0049</t>
  </si>
  <si>
    <t>18/02/2026</t>
  </si>
  <si>
    <t>ORD0050</t>
  </si>
  <si>
    <t>19/02/2026</t>
  </si>
  <si>
    <t>oil</t>
  </si>
  <si>
    <t>ORD0051</t>
  </si>
  <si>
    <t>20/02/2026</t>
  </si>
  <si>
    <t>ORD0052</t>
  </si>
  <si>
    <t>21/02/2026</t>
  </si>
  <si>
    <t>ORD0053</t>
  </si>
  <si>
    <t>22/02/2026</t>
  </si>
  <si>
    <t>ORD0054</t>
  </si>
  <si>
    <t>23/02/2026</t>
  </si>
  <si>
    <t>ORD0055</t>
  </si>
  <si>
    <t>24/02/2026</t>
  </si>
  <si>
    <t>ORD0056</t>
  </si>
  <si>
    <t>25/02/2026</t>
  </si>
  <si>
    <t>2000</t>
  </si>
  <si>
    <t>ORD0057</t>
  </si>
  <si>
    <t>26/02/2026</t>
  </si>
  <si>
    <t>ORD0058</t>
  </si>
  <si>
    <t>27/02/2026</t>
  </si>
  <si>
    <t>ORD0059</t>
  </si>
  <si>
    <t>28/02/2026</t>
  </si>
  <si>
    <t>ORD0060</t>
  </si>
  <si>
    <t>01/03/2026</t>
  </si>
  <si>
    <t>ORD0061</t>
  </si>
  <si>
    <t>02/03/2026</t>
  </si>
  <si>
    <t>ORD0062</t>
  </si>
  <si>
    <t>03/03/2026</t>
  </si>
  <si>
    <t>ORD0063</t>
  </si>
  <si>
    <t>04/03/2026</t>
  </si>
  <si>
    <t>ORD0064</t>
  </si>
  <si>
    <t>05/03/2026</t>
  </si>
  <si>
    <t>ORD0065</t>
  </si>
  <si>
    <t>06/03/2026</t>
  </si>
  <si>
    <t>ORD0066</t>
  </si>
  <si>
    <t>07/03/2026</t>
  </si>
  <si>
    <t>ORD0067</t>
  </si>
  <si>
    <t>08/03/2026</t>
  </si>
  <si>
    <t xml:space="preserve"> Aba </t>
  </si>
  <si>
    <t>ORD0068</t>
  </si>
  <si>
    <t>09/03/2026</t>
  </si>
  <si>
    <t>ORD0069</t>
  </si>
  <si>
    <t>10/03/2026</t>
  </si>
  <si>
    <t>ORD0070</t>
  </si>
  <si>
    <t>11/03/2026</t>
  </si>
  <si>
    <t>ORD0071</t>
  </si>
  <si>
    <t>12/03/2026</t>
  </si>
  <si>
    <t>ORD0072</t>
  </si>
  <si>
    <t>13/03/2026</t>
  </si>
  <si>
    <t>ORD0073</t>
  </si>
  <si>
    <t>14/03/2026</t>
  </si>
  <si>
    <t>grocery</t>
  </si>
  <si>
    <t>ORD0074</t>
  </si>
  <si>
    <t>15/03/2026</t>
  </si>
  <si>
    <t>1500</t>
  </si>
  <si>
    <t>ORD0075</t>
  </si>
  <si>
    <t>16/03/2026</t>
  </si>
  <si>
    <t>ORD0076</t>
  </si>
  <si>
    <t>17/03/2026</t>
  </si>
  <si>
    <t>ORD0077</t>
  </si>
  <si>
    <t>18/03/2026</t>
  </si>
  <si>
    <t>drinks</t>
  </si>
  <si>
    <t>ORD0078</t>
  </si>
  <si>
    <t>19/03/2026</t>
  </si>
  <si>
    <t>ORD0079</t>
  </si>
  <si>
    <t>20/03/2026</t>
  </si>
  <si>
    <t>ORD0080</t>
  </si>
  <si>
    <t>21/03/2026</t>
  </si>
  <si>
    <t>ORD0081</t>
  </si>
  <si>
    <t>22/03/2026</t>
  </si>
  <si>
    <t>ORD0082</t>
  </si>
  <si>
    <t>23/03/2026</t>
  </si>
  <si>
    <t>ORD0083</t>
  </si>
  <si>
    <t>24/03/2026</t>
  </si>
  <si>
    <t>ORD0084</t>
  </si>
  <si>
    <t>25/03/2026</t>
  </si>
  <si>
    <t>ORD0085</t>
  </si>
  <si>
    <t>26/03/2026</t>
  </si>
  <si>
    <t>ORD0086</t>
  </si>
  <si>
    <t>27/03/2026</t>
  </si>
  <si>
    <t>ORD0087</t>
  </si>
  <si>
    <t>28/03/2026</t>
  </si>
  <si>
    <t>ORD0088</t>
  </si>
  <si>
    <t>29/03/2026</t>
  </si>
  <si>
    <t>ORD0089</t>
  </si>
  <si>
    <t>30/03/2026</t>
  </si>
  <si>
    <t>ORD0090</t>
  </si>
  <si>
    <t>31/03/2026</t>
  </si>
  <si>
    <t>ORD0091</t>
  </si>
  <si>
    <t>01/04/2026</t>
  </si>
  <si>
    <t xml:space="preserve"> Owerri </t>
  </si>
  <si>
    <t>ORD0092</t>
  </si>
  <si>
    <t>2026-04-02</t>
  </si>
  <si>
    <t>ORD0093</t>
  </si>
  <si>
    <t>03/04/2026</t>
  </si>
  <si>
    <t>ORD0094</t>
  </si>
  <si>
    <t>04/04/2026</t>
  </si>
  <si>
    <t>ORD0095</t>
  </si>
  <si>
    <t>05/04/2026</t>
  </si>
  <si>
    <t>ORD0096</t>
  </si>
  <si>
    <t>06/04/2026</t>
  </si>
  <si>
    <t xml:space="preserve"> Lagos </t>
  </si>
  <si>
    <t>ORD0097</t>
  </si>
  <si>
    <t>07/04/2026</t>
  </si>
  <si>
    <t>ORD0098</t>
  </si>
  <si>
    <t>2026-04-08</t>
  </si>
  <si>
    <t>ORD0099</t>
  </si>
  <si>
    <t>09/04/2026</t>
  </si>
  <si>
    <t>bread</t>
  </si>
  <si>
    <t>ORD0100</t>
  </si>
  <si>
    <t>10/04/2026</t>
  </si>
  <si>
    <t>ORD0101</t>
  </si>
  <si>
    <t>11/04/2026</t>
  </si>
  <si>
    <t>ORD0102</t>
  </si>
  <si>
    <t>2026-04-12</t>
  </si>
  <si>
    <t>ORD0103</t>
  </si>
  <si>
    <t>2026-04-13</t>
  </si>
  <si>
    <t>ORD0104</t>
  </si>
  <si>
    <t>14/04/2026</t>
  </si>
  <si>
    <t>ORD0105</t>
  </si>
  <si>
    <t>2026-04-15</t>
  </si>
  <si>
    <t>ORD0106</t>
  </si>
  <si>
    <t>16/04/2026</t>
  </si>
  <si>
    <t>ORD0107</t>
  </si>
  <si>
    <t>17/04/2026</t>
  </si>
  <si>
    <t>ORD0108</t>
  </si>
  <si>
    <t>18/04/2026</t>
  </si>
  <si>
    <t>ORD0109</t>
  </si>
  <si>
    <t>19/04/2026</t>
  </si>
  <si>
    <t>ORD0110</t>
  </si>
  <si>
    <t>20/04/2026</t>
  </si>
  <si>
    <t>ORD0111</t>
  </si>
  <si>
    <t>21/04/2026</t>
  </si>
  <si>
    <t>ORD0112</t>
  </si>
  <si>
    <t>22/04/2026</t>
  </si>
  <si>
    <t>23/04/2026</t>
  </si>
  <si>
    <t>ORD0114</t>
  </si>
  <si>
    <t>24/04/2026</t>
  </si>
  <si>
    <t>ORD0115</t>
  </si>
  <si>
    <t>25/04/2026</t>
  </si>
  <si>
    <t>ORD0116</t>
  </si>
  <si>
    <t>26/04/2026</t>
  </si>
  <si>
    <t>ORD0117</t>
  </si>
  <si>
    <t>27/04/2026</t>
  </si>
  <si>
    <t xml:space="preserve"> Jos </t>
  </si>
  <si>
    <t>ORD0118</t>
  </si>
  <si>
    <t>28/04/2026</t>
  </si>
  <si>
    <t>ORD0119</t>
  </si>
  <si>
    <t>29/04/2026</t>
  </si>
  <si>
    <t>2500</t>
  </si>
  <si>
    <t>ORD0120</t>
  </si>
  <si>
    <t>30/04/2026</t>
  </si>
  <si>
    <t>ORD0121</t>
  </si>
  <si>
    <t>01/05/2026</t>
  </si>
  <si>
    <t>ORD0122</t>
  </si>
  <si>
    <t>02/05/2026</t>
  </si>
  <si>
    <t>ORD0123</t>
  </si>
  <si>
    <t>03/05/2026</t>
  </si>
  <si>
    <t>ORD0124</t>
  </si>
  <si>
    <t>04/05/2026</t>
  </si>
  <si>
    <t>ORD0125</t>
  </si>
  <si>
    <t>05/05/2026</t>
  </si>
  <si>
    <t>ORD0126</t>
  </si>
  <si>
    <t>06/05/2026</t>
  </si>
  <si>
    <t>ORD0127</t>
  </si>
  <si>
    <t>07/05/2026</t>
  </si>
  <si>
    <t>pasta</t>
  </si>
  <si>
    <t>ORD0128</t>
  </si>
  <si>
    <t>08/05/2026</t>
  </si>
  <si>
    <t>ORD0129</t>
  </si>
  <si>
    <t>09/05/2026</t>
  </si>
  <si>
    <t>ORD0130</t>
  </si>
  <si>
    <t>10/05/2026</t>
  </si>
  <si>
    <t>ORD0131</t>
  </si>
  <si>
    <t>11/05/2026</t>
  </si>
  <si>
    <t>ORD0132</t>
  </si>
  <si>
    <t>12/05/2026</t>
  </si>
  <si>
    <t>ORD0133</t>
  </si>
  <si>
    <t>13/05/2026</t>
  </si>
  <si>
    <t>ORD0134</t>
  </si>
  <si>
    <t>14/05/2026</t>
  </si>
  <si>
    <t>ORD0135</t>
  </si>
  <si>
    <t>15/05/2026</t>
  </si>
  <si>
    <t>ORD0136</t>
  </si>
  <si>
    <t>2026-05-16</t>
  </si>
  <si>
    <t>ORD0137</t>
  </si>
  <si>
    <t>17/05/2026</t>
  </si>
  <si>
    <t>ORD0138</t>
  </si>
  <si>
    <t>18/05/2026</t>
  </si>
  <si>
    <t>ORD0139</t>
  </si>
  <si>
    <t>19/05/2026</t>
  </si>
  <si>
    <t>ORD0140</t>
  </si>
  <si>
    <t>20/05/2026</t>
  </si>
  <si>
    <t>ORD0141</t>
  </si>
  <si>
    <t>21/05/2026</t>
  </si>
  <si>
    <t>ORD0142</t>
  </si>
  <si>
    <t>22/05/2026</t>
  </si>
  <si>
    <t>ORD0143</t>
  </si>
  <si>
    <t>23/05/2026</t>
  </si>
  <si>
    <t>ORD0144</t>
  </si>
  <si>
    <t>24/05/2026</t>
  </si>
  <si>
    <t>ORD0145</t>
  </si>
  <si>
    <t>2026-05-25</t>
  </si>
  <si>
    <t>ORD0146</t>
  </si>
  <si>
    <t>26/05/2026</t>
  </si>
  <si>
    <t>ORD0147</t>
  </si>
  <si>
    <t>27/05/2026</t>
  </si>
  <si>
    <t>ORD0148</t>
  </si>
  <si>
    <t>2026-05-28</t>
  </si>
  <si>
    <t>ORD0149</t>
  </si>
  <si>
    <t>29/05/2026</t>
  </si>
  <si>
    <t>ORD0150</t>
  </si>
  <si>
    <t>30/05/2026</t>
  </si>
  <si>
    <t>ORD0151</t>
  </si>
  <si>
    <t>31/05/2026</t>
  </si>
  <si>
    <t>01/06/2026</t>
  </si>
  <si>
    <t>ORD0153</t>
  </si>
  <si>
    <t>02/06/2026</t>
  </si>
  <si>
    <t>ORD0154</t>
  </si>
  <si>
    <t>03/06/2026</t>
  </si>
  <si>
    <t>ORD0155</t>
  </si>
  <si>
    <t>04/06/2026</t>
  </si>
  <si>
    <t>ORD0156</t>
  </si>
  <si>
    <t>05/06/2026</t>
  </si>
  <si>
    <t>ORD0157</t>
  </si>
  <si>
    <t>06/06/2026</t>
  </si>
  <si>
    <t>ORD0158</t>
  </si>
  <si>
    <t>07/06/2026</t>
  </si>
  <si>
    <t>ORD0159</t>
  </si>
  <si>
    <t>08/06/2026</t>
  </si>
  <si>
    <t>ORD0160</t>
  </si>
  <si>
    <t>09/06/2026</t>
  </si>
  <si>
    <t>10/06/2026</t>
  </si>
  <si>
    <t>ORD0162</t>
  </si>
  <si>
    <t>11/06/2026</t>
  </si>
  <si>
    <t>ORD0163</t>
  </si>
  <si>
    <t>12/06/2026</t>
  </si>
  <si>
    <t>13/06/2026</t>
  </si>
  <si>
    <t>ORD0165</t>
  </si>
  <si>
    <t>14/06/2026</t>
  </si>
  <si>
    <t>ORD0166</t>
  </si>
  <si>
    <t>15/06/2026</t>
  </si>
  <si>
    <t>ORD0167</t>
  </si>
  <si>
    <t>16/06/2026</t>
  </si>
  <si>
    <t>ORD0168</t>
  </si>
  <si>
    <t>17/06/2026</t>
  </si>
  <si>
    <t>ORD0169</t>
  </si>
  <si>
    <t>2026-06-18</t>
  </si>
  <si>
    <t>ORD0170</t>
  </si>
  <si>
    <t>19/06/2026</t>
  </si>
  <si>
    <t>ORD0171</t>
  </si>
  <si>
    <t>20/06/2026</t>
  </si>
  <si>
    <t>ORD0172</t>
  </si>
  <si>
    <t>21/06/2026</t>
  </si>
  <si>
    <t xml:space="preserve"> Enugu </t>
  </si>
  <si>
    <t>ORD0173</t>
  </si>
  <si>
    <t>22/06/2026</t>
  </si>
  <si>
    <t>ORD0174</t>
  </si>
  <si>
    <t>23/06/2026</t>
  </si>
  <si>
    <t>ORD0175</t>
  </si>
  <si>
    <t>24/06/2026</t>
  </si>
  <si>
    <t>ORD0176</t>
  </si>
  <si>
    <t>25/06/2026</t>
  </si>
  <si>
    <t>ORD0177</t>
  </si>
  <si>
    <t>26/06/2026</t>
  </si>
  <si>
    <t>ORD0178</t>
  </si>
  <si>
    <t>27/06/2026</t>
  </si>
  <si>
    <t>ORD0179</t>
  </si>
  <si>
    <t>28/06/2026</t>
  </si>
  <si>
    <t>ORD0180</t>
  </si>
  <si>
    <t>29/06/2026</t>
  </si>
  <si>
    <t>ORD0181</t>
  </si>
  <si>
    <t>30/06/2026</t>
  </si>
  <si>
    <t>ORD0182</t>
  </si>
  <si>
    <t>01/07/2026</t>
  </si>
  <si>
    <t>ORD0183</t>
  </si>
  <si>
    <t>02/07/2026</t>
  </si>
  <si>
    <t>ORD0184</t>
  </si>
  <si>
    <t>03/07/2026</t>
  </si>
  <si>
    <t>ORD0185</t>
  </si>
  <si>
    <t>04/07/2026</t>
  </si>
  <si>
    <t>ORD0186</t>
  </si>
  <si>
    <t>05/07/2026</t>
  </si>
  <si>
    <t>ORD0187</t>
  </si>
  <si>
    <t>06/07/2026</t>
  </si>
  <si>
    <t>ORD0188</t>
  </si>
  <si>
    <t>07/07/2026</t>
  </si>
  <si>
    <t>ORD0189</t>
  </si>
  <si>
    <t>08/07/2026</t>
  </si>
  <si>
    <t>ORD0190</t>
  </si>
  <si>
    <t>09/07/2026</t>
  </si>
  <si>
    <t>ORD0191</t>
  </si>
  <si>
    <t>10/07/2026</t>
  </si>
  <si>
    <t>11/07/2026</t>
  </si>
  <si>
    <t>ORD0193</t>
  </si>
  <si>
    <t>12/07/2026</t>
  </si>
  <si>
    <t>ORD0194</t>
  </si>
  <si>
    <t>13/07/2026</t>
  </si>
  <si>
    <t>ORD0195</t>
  </si>
  <si>
    <t>14/07/2026</t>
  </si>
  <si>
    <t>ORD0196</t>
  </si>
  <si>
    <t>15/07/2026</t>
  </si>
  <si>
    <t>ORD0197</t>
  </si>
  <si>
    <t>16/07/2026</t>
  </si>
  <si>
    <t>ORD0198</t>
  </si>
  <si>
    <t>17/07/2026</t>
  </si>
  <si>
    <t>ORD0199</t>
  </si>
  <si>
    <t>18/07/2026</t>
  </si>
  <si>
    <t>ORD0200</t>
  </si>
  <si>
    <t>19/07/2026</t>
  </si>
  <si>
    <t>ORD0201</t>
  </si>
  <si>
    <t>20/07/2026</t>
  </si>
  <si>
    <t>ORD0202</t>
  </si>
  <si>
    <t>21/07/2026</t>
  </si>
  <si>
    <t>ORD0203</t>
  </si>
  <si>
    <t>22/07/2026</t>
  </si>
  <si>
    <t>ORD0204</t>
  </si>
  <si>
    <t>23/07/2026</t>
  </si>
  <si>
    <t>ORD0205</t>
  </si>
  <si>
    <t>24/07/2026</t>
  </si>
  <si>
    <t>ORD0206</t>
  </si>
  <si>
    <t>25/07/2026</t>
  </si>
  <si>
    <t>ORD0207</t>
  </si>
  <si>
    <t>26/07/2026</t>
  </si>
  <si>
    <t>ORD0208</t>
  </si>
  <si>
    <t>27/07/2026</t>
  </si>
  <si>
    <t>ORD0209</t>
  </si>
  <si>
    <t>2026-07-28</t>
  </si>
  <si>
    <t>ORD0210</t>
  </si>
  <si>
    <t>29/07/2026</t>
  </si>
  <si>
    <t>ORD0211</t>
  </si>
  <si>
    <t>30/07/2026</t>
  </si>
  <si>
    <t>ORD0212</t>
  </si>
  <si>
    <t>31/07/2026</t>
  </si>
  <si>
    <t>ORD0213</t>
  </si>
  <si>
    <t>01/08/2026</t>
  </si>
  <si>
    <t>ORD0214</t>
  </si>
  <si>
    <t>02/08/2026</t>
  </si>
  <si>
    <t>ORD0215</t>
  </si>
  <si>
    <t>03/08/2026</t>
  </si>
  <si>
    <t>ORD0216</t>
  </si>
  <si>
    <t>04/08/2026</t>
  </si>
  <si>
    <t>ORD0217</t>
  </si>
  <si>
    <t>05/08/2026</t>
  </si>
  <si>
    <t>ORD0218</t>
  </si>
  <si>
    <t>06/08/2026</t>
  </si>
  <si>
    <t>ORD0219</t>
  </si>
  <si>
    <t>07/08/2026</t>
  </si>
  <si>
    <t>ORD0220</t>
  </si>
  <si>
    <t>08/08/2026</t>
  </si>
  <si>
    <t>ORD0221</t>
  </si>
  <si>
    <t>09/08/2026</t>
  </si>
  <si>
    <t>ORD0222</t>
  </si>
  <si>
    <t>10/08/2026</t>
  </si>
  <si>
    <t>ORD0223</t>
  </si>
  <si>
    <t>11/08/2026</t>
  </si>
  <si>
    <t>ORD0224</t>
  </si>
  <si>
    <t>12/08/2026</t>
  </si>
  <si>
    <t>ORD0225</t>
  </si>
  <si>
    <t>13/08/2026</t>
  </si>
  <si>
    <t>ORD0226</t>
  </si>
  <si>
    <t>2026-08-14</t>
  </si>
  <si>
    <t>ORD0227</t>
  </si>
  <si>
    <t>15/08/2026</t>
  </si>
  <si>
    <t>ORD0228</t>
  </si>
  <si>
    <t>16/08/2026</t>
  </si>
  <si>
    <t>ORD0229</t>
  </si>
  <si>
    <t>17/08/2026</t>
  </si>
  <si>
    <t>ORD0230</t>
  </si>
  <si>
    <t>18/08/2026</t>
  </si>
  <si>
    <t>ORD0231</t>
  </si>
  <si>
    <t>19/08/2026</t>
  </si>
  <si>
    <t>ORD0232</t>
  </si>
  <si>
    <t>20/08/2026</t>
  </si>
  <si>
    <t>ORD0233</t>
  </si>
  <si>
    <t>21/08/2026</t>
  </si>
  <si>
    <t>ORD0234</t>
  </si>
  <si>
    <t>22/08/2026</t>
  </si>
  <si>
    <t>ORD0235</t>
  </si>
  <si>
    <t>2026-08-23</t>
  </si>
  <si>
    <t>ORD0236</t>
  </si>
  <si>
    <t>24/08/2026</t>
  </si>
  <si>
    <t>ORD0237</t>
  </si>
  <si>
    <t>25/08/2026</t>
  </si>
  <si>
    <t>ORD0238</t>
  </si>
  <si>
    <t>26/08/2026</t>
  </si>
  <si>
    <t>ORD0239</t>
  </si>
  <si>
    <t>27/08/2026</t>
  </si>
  <si>
    <t>ORD0240</t>
  </si>
  <si>
    <t>28/08/2026</t>
  </si>
  <si>
    <t>ORD0241</t>
  </si>
  <si>
    <t>29/08/2026</t>
  </si>
  <si>
    <t>ORD0242</t>
  </si>
  <si>
    <t>30/08/2026</t>
  </si>
  <si>
    <t>ORD0243</t>
  </si>
  <si>
    <t>2026-08-31</t>
  </si>
  <si>
    <t>ORD0244</t>
  </si>
  <si>
    <t>01/09/2026</t>
  </si>
  <si>
    <t>ORD0245</t>
  </si>
  <si>
    <t>02/09/2026</t>
  </si>
  <si>
    <t>ORD0246</t>
  </si>
  <si>
    <t>03/09/2026</t>
  </si>
  <si>
    <t>ORD0247</t>
  </si>
  <si>
    <t>04/09/2026</t>
  </si>
  <si>
    <t>ORD0248</t>
  </si>
  <si>
    <t>05/09/2026</t>
  </si>
  <si>
    <t>ORD0249</t>
  </si>
  <si>
    <t>06/09/2026</t>
  </si>
  <si>
    <t>ORD0250</t>
  </si>
  <si>
    <t>07/09/2026</t>
  </si>
  <si>
    <t>ORD0251</t>
  </si>
  <si>
    <t>08/09/2026</t>
  </si>
  <si>
    <t>ORD0252</t>
  </si>
  <si>
    <t>09/09/2026</t>
  </si>
  <si>
    <t>ORD0253</t>
  </si>
  <si>
    <t>10/09/2026</t>
  </si>
  <si>
    <t xml:space="preserve"> Benin </t>
  </si>
  <si>
    <t>ORD0254</t>
  </si>
  <si>
    <t>2026-09-11</t>
  </si>
  <si>
    <t>ORD0255</t>
  </si>
  <si>
    <t>12/09/2026</t>
  </si>
  <si>
    <t>ORD0256</t>
  </si>
  <si>
    <t>13/09/2026</t>
  </si>
  <si>
    <t>ORD0257</t>
  </si>
  <si>
    <t>14/09/2026</t>
  </si>
  <si>
    <t>ORD0258</t>
  </si>
  <si>
    <t>15/09/2026</t>
  </si>
  <si>
    <t>ORD0259</t>
  </si>
  <si>
    <t>16/09/2026</t>
  </si>
  <si>
    <t>ORD0260</t>
  </si>
  <si>
    <t>17/09/2026</t>
  </si>
  <si>
    <t>ORD0261</t>
  </si>
  <si>
    <t>18/09/2026</t>
  </si>
  <si>
    <t>ORD0262</t>
  </si>
  <si>
    <t>19/09/2026</t>
  </si>
  <si>
    <t>ORD0263</t>
  </si>
  <si>
    <t>2026-09-20</t>
  </si>
  <si>
    <t>ORD0264</t>
  </si>
  <si>
    <t>21/09/2026</t>
  </si>
  <si>
    <t xml:space="preserve"> Kano </t>
  </si>
  <si>
    <t>ORD0265</t>
  </si>
  <si>
    <t>22/09/2026</t>
  </si>
  <si>
    <t>ORD0266</t>
  </si>
  <si>
    <t>23/09/2026</t>
  </si>
  <si>
    <t>ORD0267</t>
  </si>
  <si>
    <t>24/09/2026</t>
  </si>
  <si>
    <t>ORD0268</t>
  </si>
  <si>
    <t>25/09/2026</t>
  </si>
  <si>
    <t>ORD0269</t>
  </si>
  <si>
    <t>26/09/2026</t>
  </si>
  <si>
    <t>ORD0270</t>
  </si>
  <si>
    <t>27/09/2026</t>
  </si>
  <si>
    <t>ORD0271</t>
  </si>
  <si>
    <t>28/09/2026</t>
  </si>
  <si>
    <t>ORD0272</t>
  </si>
  <si>
    <t>29/09/2026</t>
  </si>
  <si>
    <t>ORD0273</t>
  </si>
  <si>
    <t>30/09/2026</t>
  </si>
  <si>
    <t>ORD0274</t>
  </si>
  <si>
    <t>01/10/2026</t>
  </si>
  <si>
    <t>ORD0275</t>
  </si>
  <si>
    <t>02/10/2026</t>
  </si>
  <si>
    <t>ORD0276</t>
  </si>
  <si>
    <t>03/10/2026</t>
  </si>
  <si>
    <t>ORD0277</t>
  </si>
  <si>
    <t>04/10/2026</t>
  </si>
  <si>
    <t>ORD0278</t>
  </si>
  <si>
    <t>05/10/2026</t>
  </si>
  <si>
    <t>06/10/2026</t>
  </si>
  <si>
    <t>ORD0280</t>
  </si>
  <si>
    <t>07/10/2026</t>
  </si>
  <si>
    <t>ORD0281</t>
  </si>
  <si>
    <t>08/10/2026</t>
  </si>
  <si>
    <t>ORD0282</t>
  </si>
  <si>
    <t>09/10/2026</t>
  </si>
  <si>
    <t>ORD0283</t>
  </si>
  <si>
    <t>10/10/2026</t>
  </si>
  <si>
    <t>ORD0284</t>
  </si>
  <si>
    <t>11/10/2026</t>
  </si>
  <si>
    <t>ORD0285</t>
  </si>
  <si>
    <t>12/10/2026</t>
  </si>
  <si>
    <t>ORD0286</t>
  </si>
  <si>
    <t>13/10/2026</t>
  </si>
  <si>
    <t>ORD0287</t>
  </si>
  <si>
    <t>14/10/2026</t>
  </si>
  <si>
    <t>ORD0288</t>
  </si>
  <si>
    <t>15/10/2026</t>
  </si>
  <si>
    <t>ORD0289</t>
  </si>
  <si>
    <t>16/10/2026</t>
  </si>
  <si>
    <t>ORD0290</t>
  </si>
  <si>
    <t>17/10/2026</t>
  </si>
  <si>
    <t>ORD0291</t>
  </si>
  <si>
    <t>18/10/2026</t>
  </si>
  <si>
    <t>ORD0292</t>
  </si>
  <si>
    <t>2026-10-19</t>
  </si>
  <si>
    <t>ORD0293</t>
  </si>
  <si>
    <t>20/10/2026</t>
  </si>
  <si>
    <t>ORD0294</t>
  </si>
  <si>
    <t>21/10/2026</t>
  </si>
  <si>
    <t>ORD0295</t>
  </si>
  <si>
    <t>22/10/2026</t>
  </si>
  <si>
    <t>ORD0296</t>
  </si>
  <si>
    <t>23/10/2026</t>
  </si>
  <si>
    <t>ORD0297</t>
  </si>
  <si>
    <t>24/10/2026</t>
  </si>
  <si>
    <t>ORD0298</t>
  </si>
  <si>
    <t>25/10/2026</t>
  </si>
  <si>
    <t>ORD0299</t>
  </si>
  <si>
    <t>26/10/2026</t>
  </si>
  <si>
    <t>ORD0300</t>
  </si>
  <si>
    <t>27/10/2026</t>
  </si>
  <si>
    <t>ORD0301</t>
  </si>
  <si>
    <t>28/10/2026</t>
  </si>
  <si>
    <t>ORD0302</t>
  </si>
  <si>
    <t>29/10/2026</t>
  </si>
  <si>
    <t>ORD0303</t>
  </si>
  <si>
    <t>30/10/2026</t>
  </si>
  <si>
    <t>ORD0304</t>
  </si>
  <si>
    <t>31/10/2026</t>
  </si>
  <si>
    <t>ORD0305</t>
  </si>
  <si>
    <t>01/11/2026</t>
  </si>
  <si>
    <t>ORD0306</t>
  </si>
  <si>
    <t>02/11/2026</t>
  </si>
  <si>
    <t>ORD0307</t>
  </si>
  <si>
    <t>03/11/2026</t>
  </si>
  <si>
    <t>ORD0308</t>
  </si>
  <si>
    <t>04/11/2026</t>
  </si>
  <si>
    <t>ORD0309</t>
  </si>
  <si>
    <t>05/11/2026</t>
  </si>
  <si>
    <t>ORD0310</t>
  </si>
  <si>
    <t>06/11/2026</t>
  </si>
  <si>
    <t>ORD0311</t>
  </si>
  <si>
    <t>07/11/2026</t>
  </si>
  <si>
    <t>ORD0312</t>
  </si>
  <si>
    <t>08/11/2026</t>
  </si>
  <si>
    <t>ORD0313</t>
  </si>
  <si>
    <t>09/11/2026</t>
  </si>
  <si>
    <t>ORD0314</t>
  </si>
  <si>
    <t>10/11/2026</t>
  </si>
  <si>
    <t>ORD0315</t>
  </si>
  <si>
    <t>11/11/2026</t>
  </si>
  <si>
    <t>12/11/2026</t>
  </si>
  <si>
    <t>ORD0317</t>
  </si>
  <si>
    <t>13/11/2026</t>
  </si>
  <si>
    <t>ORD0318</t>
  </si>
  <si>
    <t>14/11/2026</t>
  </si>
  <si>
    <t>ORD0319</t>
  </si>
  <si>
    <t>15/11/2026</t>
  </si>
  <si>
    <t>ORD0320</t>
  </si>
  <si>
    <t>16/11/2026</t>
  </si>
  <si>
    <t>ORD0321</t>
  </si>
  <si>
    <t>17/11/2026</t>
  </si>
  <si>
    <t>ORD0322</t>
  </si>
  <si>
    <t>18/11/2026</t>
  </si>
  <si>
    <t>ORD0323</t>
  </si>
  <si>
    <t>19/11/2026</t>
  </si>
  <si>
    <t>ORD0324</t>
  </si>
  <si>
    <t>20/11/2026</t>
  </si>
  <si>
    <t>ORD0325</t>
  </si>
  <si>
    <t>21/11/2026</t>
  </si>
  <si>
    <t>ORD0326</t>
  </si>
  <si>
    <t>22/11/2026</t>
  </si>
  <si>
    <t>ORD0327</t>
  </si>
  <si>
    <t>23/11/2026</t>
  </si>
  <si>
    <t>ORD0328</t>
  </si>
  <si>
    <t>24/11/2026</t>
  </si>
  <si>
    <t>ORD0329</t>
  </si>
  <si>
    <t>25/11/2026</t>
  </si>
  <si>
    <t>ORD0330</t>
  </si>
  <si>
    <t>26/11/2026</t>
  </si>
  <si>
    <t>ORD0331</t>
  </si>
  <si>
    <t>27/11/2026</t>
  </si>
  <si>
    <t>ORD0332</t>
  </si>
  <si>
    <t>28/11/2026</t>
  </si>
  <si>
    <t>ORD0333</t>
  </si>
  <si>
    <t>29/11/2026</t>
  </si>
  <si>
    <t>ORD0334</t>
  </si>
  <si>
    <t>30/11/2026</t>
  </si>
  <si>
    <t>ORD0335</t>
  </si>
  <si>
    <t>01/12/2026</t>
  </si>
  <si>
    <t>ORD0336</t>
  </si>
  <si>
    <t>02/12/2026</t>
  </si>
  <si>
    <t>ORD0337</t>
  </si>
  <si>
    <t>03/12/2026</t>
  </si>
  <si>
    <t>ORD0338</t>
  </si>
  <si>
    <t>04/12/2026</t>
  </si>
  <si>
    <t>ORD0339</t>
  </si>
  <si>
    <t>05/12/2026</t>
  </si>
  <si>
    <t>ORD0340</t>
  </si>
  <si>
    <t>06/12/2026</t>
  </si>
  <si>
    <t>ORD0341</t>
  </si>
  <si>
    <t>07/12/2026</t>
  </si>
  <si>
    <t>ORD0342</t>
  </si>
  <si>
    <t>08/12/2026</t>
  </si>
  <si>
    <t>ORD0343</t>
  </si>
  <si>
    <t>09/12/2026</t>
  </si>
  <si>
    <t>ORD0344</t>
  </si>
  <si>
    <t>10/12/2026</t>
  </si>
  <si>
    <t>ORD0345</t>
  </si>
  <si>
    <t>11/12/2026</t>
  </si>
  <si>
    <t>ORD0346</t>
  </si>
  <si>
    <t>12/12/2026</t>
  </si>
  <si>
    <t>ORD0347</t>
  </si>
  <si>
    <t>13/12/2026</t>
  </si>
  <si>
    <t>ORD0348</t>
  </si>
  <si>
    <t>14/12/2026</t>
  </si>
  <si>
    <t>ORD0349</t>
  </si>
  <si>
    <t>15/12/2026</t>
  </si>
  <si>
    <t>16/12/2026</t>
  </si>
  <si>
    <t>ORD0351</t>
  </si>
  <si>
    <t>17/12/2026</t>
  </si>
  <si>
    <t>ORD0352</t>
  </si>
  <si>
    <t>18/12/2026</t>
  </si>
  <si>
    <t>ORD0353</t>
  </si>
  <si>
    <t>19/12/2026</t>
  </si>
  <si>
    <t>ORD0354</t>
  </si>
  <si>
    <t>20/12/2026</t>
  </si>
  <si>
    <t>ORD0355</t>
  </si>
  <si>
    <t>21/12/2026</t>
  </si>
  <si>
    <t>ORD0356</t>
  </si>
  <si>
    <t>22/12/2026</t>
  </si>
  <si>
    <t>ORD0357</t>
  </si>
  <si>
    <t>23/12/2026</t>
  </si>
  <si>
    <t>ORD0358</t>
  </si>
  <si>
    <t>24/12/2026</t>
  </si>
  <si>
    <t>ORD0359</t>
  </si>
  <si>
    <t>25/12/2026</t>
  </si>
  <si>
    <t>ORD0360</t>
  </si>
  <si>
    <t>2026-12-26</t>
  </si>
  <si>
    <t>ORD0361</t>
  </si>
  <si>
    <t>27/12/2026</t>
  </si>
  <si>
    <t>ORD0362</t>
  </si>
  <si>
    <t>28/12/2026</t>
  </si>
  <si>
    <t>ORD0363</t>
  </si>
  <si>
    <t>29/12/2026</t>
  </si>
  <si>
    <t>ORD0364</t>
  </si>
  <si>
    <t>30/12/2026</t>
  </si>
  <si>
    <t>ORD0365</t>
  </si>
  <si>
    <t>31/12/2026</t>
  </si>
  <si>
    <t>ORD0366</t>
  </si>
  <si>
    <t>ORD0367</t>
  </si>
  <si>
    <t>ORD0368</t>
  </si>
  <si>
    <t>ORD0369</t>
  </si>
  <si>
    <t>ORD0370</t>
  </si>
  <si>
    <t>ORD0371</t>
  </si>
  <si>
    <t>ORD0372</t>
  </si>
  <si>
    <t>ORD0373</t>
  </si>
  <si>
    <t>ORD0374</t>
  </si>
  <si>
    <t>2026-01-09</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</si>
  <si>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</si>
  <si>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</si>
  <si>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</si>
  <si>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</si>
  <si>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</si>
  <si>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</si>
  <si>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</si>
  <si>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</si>
  <si>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</si>
  <si>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</si>
  <si>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</si>
  <si>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</si>
  <si>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</si>
  <si>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</si>
  <si>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</si>
  <si>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</si>
  <si>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</si>
  <si>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</si>
  <si>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</si>
  <si>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</si>
  <si>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</si>
  <si>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ORD0397</t>
  </si>
  <si>
    <t>ORD0398</t>
  </si>
  <si>
    <t>ORD0399</t>
  </si>
  <si>
    <t>ORD0400</t>
  </si>
  <si>
    <t>ORD0401</t>
  </si>
  <si>
    <t>ORD0402</t>
  </si>
  <si>
    <t>ORD0403</t>
  </si>
  <si>
    <t>ORD0404</t>
  </si>
  <si>
    <t>ORD0405</t>
  </si>
  <si>
    <t>ORD0406</t>
  </si>
  <si>
    <t>ORD0407</t>
  </si>
  <si>
    <t>ORD0408</t>
  </si>
  <si>
    <t>ORD0409</t>
  </si>
  <si>
    <t>dairy</t>
  </si>
  <si>
    <t>ORD0410</t>
  </si>
  <si>
    <t>ORD0411</t>
  </si>
  <si>
    <t>ORD0412</t>
  </si>
  <si>
    <t>ORD0413</t>
  </si>
  <si>
    <t>17/02/2026</t>
  </si>
  <si>
    <t>ORD0414</t>
  </si>
  <si>
    <t>ORD0415</t>
  </si>
  <si>
    <t xml:space="preserve"> Ibadan </t>
  </si>
  <si>
    <t>ORD0416</t>
  </si>
  <si>
    <t>ORD0417</t>
  </si>
  <si>
    <t>ORD0418</t>
  </si>
  <si>
    <t>ORD0419</t>
  </si>
  <si>
    <t>ORD0420</t>
  </si>
  <si>
    <t>ORD0421</t>
  </si>
  <si>
    <t>ORD0422</t>
  </si>
  <si>
    <t>ORD0423</t>
  </si>
  <si>
    <t>ORD0424</t>
  </si>
  <si>
    <t>ORD0425</t>
  </si>
  <si>
    <t>ORD0426</t>
  </si>
  <si>
    <t>ORD0427</t>
  </si>
  <si>
    <t>2026-03-03</t>
  </si>
  <si>
    <t>ORD0428</t>
  </si>
  <si>
    <t>2026-03-04</t>
  </si>
  <si>
    <t>ORD0429</t>
  </si>
  <si>
    <t>ORD0430</t>
  </si>
  <si>
    <t>ORD0431</t>
  </si>
  <si>
    <t>ORD0432</t>
  </si>
  <si>
    <t>ORD0433</t>
  </si>
  <si>
    <t>ORD0434</t>
  </si>
  <si>
    <t>ORD0435</t>
  </si>
  <si>
    <t>ORD0436</t>
  </si>
  <si>
    <t>ORD0437</t>
  </si>
  <si>
    <t>ORD0438</t>
  </si>
  <si>
    <t>2026-03-14</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</si>
  <si>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</si>
  <si>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</si>
  <si>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</si>
  <si>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</si>
  <si>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</si>
  <si>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</si>
  <si>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</si>
  <si>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</si>
  <si>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</si>
  <si>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</si>
  <si>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</si>
  <si>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</si>
  <si>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</si>
  <si>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</si>
  <si>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</si>
  <si>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</si>
  <si>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</si>
  <si>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</si>
  <si>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</si>
  <si>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02/04/2026</t>
  </si>
  <si>
    <t>ORD0458</t>
  </si>
  <si>
    <t>ORD0459</t>
  </si>
  <si>
    <t>ORD0460</t>
  </si>
  <si>
    <t>ORD0461</t>
  </si>
  <si>
    <t>ORD0462</t>
  </si>
  <si>
    <t>ORD0463</t>
  </si>
  <si>
    <t>08/04/2026</t>
  </si>
  <si>
    <t>ORD0464</t>
  </si>
  <si>
    <t>ORD0465</t>
  </si>
  <si>
    <t>ORD0466</t>
  </si>
  <si>
    <t>ORD0467</t>
  </si>
  <si>
    <t>12/04/2026</t>
  </si>
  <si>
    <t>ORD0468</t>
  </si>
  <si>
    <t>13/04/2026</t>
  </si>
  <si>
    <t>ORD0469</t>
  </si>
  <si>
    <t>beans</t>
  </si>
  <si>
    <t>ORD0470</t>
  </si>
  <si>
    <t>15/04/2026</t>
  </si>
  <si>
    <t>ORD0471</t>
  </si>
  <si>
    <t>2026-04-16</t>
  </si>
  <si>
    <t>ORD0472</t>
  </si>
  <si>
    <t>ORD0473</t>
  </si>
  <si>
    <t>ORD0474</t>
  </si>
  <si>
    <t>ORD0475</t>
  </si>
  <si>
    <t>ORD0476</t>
  </si>
  <si>
    <t>ORD0477</t>
  </si>
  <si>
    <t>ORD0478</t>
  </si>
  <si>
    <t>ORD0480</t>
  </si>
  <si>
    <t>ORD0481</t>
  </si>
  <si>
    <t>ORD0482</t>
  </si>
  <si>
    <t>ORD0483</t>
  </si>
  <si>
    <t>ORD0484</t>
  </si>
  <si>
    <t xml:space="preserve"> Uyo </t>
  </si>
  <si>
    <t>ORD0485</t>
  </si>
  <si>
    <t>ORD0486</t>
  </si>
  <si>
    <t>ORD0487</t>
  </si>
  <si>
    <t>ORD0488</t>
  </si>
  <si>
    <t>ORD0489</t>
  </si>
  <si>
    <t>ORD0490</t>
  </si>
  <si>
    <t>ORD0491</t>
  </si>
  <si>
    <t>ORD0492</t>
  </si>
  <si>
    <t>ORD0493</t>
  </si>
  <si>
    <t>ORD0494</t>
  </si>
  <si>
    <t>ORD0495</t>
  </si>
  <si>
    <t>ORD0496</t>
  </si>
  <si>
    <t>ORD0497</t>
  </si>
  <si>
    <t>ORD0498</t>
  </si>
  <si>
    <t>ORD0499</t>
  </si>
  <si>
    <t>ORD0500</t>
  </si>
  <si>
    <t>Unknown</t>
  </si>
  <si>
    <t>Sales Data Cleaning Project</t>
  </si>
  <si>
    <t>RAW DATA</t>
  </si>
  <si>
    <t>Sales Analysis Report</t>
  </si>
  <si>
    <t>Sales Performance Dashboard</t>
  </si>
  <si>
    <t>Grand Total</t>
  </si>
  <si>
    <t>Sum of Total Sales</t>
  </si>
  <si>
    <t>Monthly Sales Trend</t>
  </si>
  <si>
    <t>Top 5 Products by sales</t>
  </si>
  <si>
    <t>Jan</t>
  </si>
  <si>
    <t>Feb</t>
  </si>
  <si>
    <t>Mar</t>
  </si>
  <si>
    <t>Apr</t>
  </si>
  <si>
    <t>May</t>
  </si>
  <si>
    <t>Jun</t>
  </si>
  <si>
    <t>Jul</t>
  </si>
  <si>
    <t>Aug</t>
  </si>
  <si>
    <t>Oct</t>
  </si>
  <si>
    <t>Nov</t>
  </si>
  <si>
    <t>Dec</t>
  </si>
  <si>
    <t>Total Orders</t>
  </si>
  <si>
    <t>Average Sales</t>
  </si>
  <si>
    <t>Total Region</t>
  </si>
  <si>
    <t>KPI</t>
  </si>
  <si>
    <t>VALUE</t>
  </si>
  <si>
    <t>Total Quantity</t>
  </si>
  <si>
    <t>Sales by Region</t>
  </si>
  <si>
    <t>Sales by Category</t>
  </si>
  <si>
    <t>Monthly Sales</t>
  </si>
  <si>
    <t>Top 5 Product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</si>
</sst>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469]\ #,##0"/>
    <numFmt numFmtId="169" formatCode="mm/dd/yyyy"/>
  </numFmts>
  <fonts count="11" x14ac:knownFonts="1">
    <font>
      <sz val="11"/>
      <color theme="1"/>
      <name val="Calibri"/>
      <family val="2"/>
      <scheme val="minor"/>
    </font>
    <font>
      <b/>
      <sz val="11"/>
      <color theme="4" tint="-0.249977111117893"/>
      <name val="Calibri"/>
      <family val="2"/>
      <scheme val="minor"/>
    </font>
    <font>
      <b/>
      <sz val="16"/>
      <color theme="1"/>
      <name val="Calibri"/>
      <family val="2"/>
      <scheme val="minor"/>
    </font>
    <font>
      <b/>
      <sz val="20"/>
      <color theme="1"/>
      <name val="Calibri"/>
      <family val="2"/>
      <scheme val="minor"/>
    </font>
    <font>
      <b/>
      <sz val="12"/>
      <color theme="4" tint="-0.249977111117893"/>
      <name val="Calibri"/>
      <family val="2"/>
      <scheme val="minor"/>
    </font>
    <font>
      <b/>
      <sz val="18"/>
      <color theme="6" tint="-0.249977111117893"/>
      <name val="Calibri"/>
      <family val="2"/>
      <scheme val="minor"/>
    </font>
    <font>
      <b/>
      <sz val="20"/>
      <color theme="6" tint="-0.249977111117893"/>
      <name val="Calibri"/>
      <family val="2"/>
      <scheme val="minor"/>
    </font>
    <font>
      <b/>
      <sz val="24"/>
      <color theme="1"/>
      <name val="Calibri"/>
      <family val="2"/>
      <scheme val="minor"/>
    </font>
    <font>
      <sz val="18"/>
      <color theme="1"/>
      <name val="Calibri"/>
      <family val="2"/>
      <scheme val="minor"/>
    </font>
    <font>
      <b/>
      <sz val="24"/>
      <color theme="6" tint="-0.249977111117893"/>
      <name val="Calibri"/>
      <family val="2"/>
      <scheme val="minor"/>
    </font>
    <font>
      <b/>
      <sz val="22"/>
      <color theme="3" tint="0.3999755851924192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applyAlignment="1">
      <alignment horizontal="right"/>
    </xf>
    <xf numFmtId="0" fontId="0" fillId="0" borderId="0" xfId="0" applyAlignment="1">
      <alignment horizontal="center"/>
    </xf>
    <xf numFmtId="0" fontId="4" fillId="0" borderId="0" xfId="0" applyFont="1"/>
    <xf numFmtId="0" fontId="5" fillId="0" borderId="0" xfId="0" applyFont="1" applyAlignment="1">
      <alignment horizontal="center"/>
    </xf>
    <xf numFmtId="0" fontId="4" fillId="0" borderId="0" xfId="0" applyFont="1" applyAlignment="1">
      <alignment vertical="center"/>
    </xf>
    <xf numFmtId="0" fontId="6" fillId="0" borderId="0" xfId="0" applyFont="1" applyAlignment="1">
      <alignment horizontal="center"/>
    </xf>
    <xf numFmtId="0" fontId="0" fillId="0" borderId="0" xfId="0" pivotButton="1"/>
    <xf numFmtId="0" fontId="0" fillId="0" borderId="0" xfId="0" applyAlignment="1">
      <alignment horizontal="left"/>
    </xf>
    <xf numFmtId="168" fontId="0" fillId="0" borderId="0" xfId="0" applyNumberFormat="1"/>
    <xf numFmtId="169" fontId="4" fillId="0" borderId="0" xfId="0" applyNumberFormat="1" applyFont="1"/>
    <xf numFmtId="169" fontId="0" fillId="0" borderId="0" xfId="0" applyNumberFormat="1"/>
    <xf numFmtId="169" fontId="0" fillId="0" borderId="0" xfId="0" applyNumberFormat="1" applyAlignment="1">
      <alignment horizontal="left"/>
    </xf>
    <xf numFmtId="0" fontId="7" fillId="0" borderId="0" xfId="0" applyFont="1"/>
    <xf numFmtId="0" fontId="8" fillId="0" borderId="0" xfId="0" applyFont="1"/>
    <xf numFmtId="0" fontId="9" fillId="0" borderId="0" xfId="0" applyFont="1" applyAlignment="1">
      <alignment horizontal="center"/>
    </xf>
    <xf numFmtId="0" fontId="3" fillId="0" borderId="0" xfId="0" applyFont="1"/>
    <xf numFmtId="0" fontId="10" fillId="0" borderId="0" xfId="0" applyFont="1"/>
    <xf numFmtId="0" fontId="8" fillId="0" borderId="0" xfId="0" applyFont="1" applyAlignment="1">
      <alignment horizontal="center"/>
    </xf>
    <xf numFmtId="168" fontId="8" fillId="0" borderId="0" xfId="0" applyNumberFormat="1" applyFont="1" applyAlignment="1">
      <alignment horizontal="center"/>
    </xf>
    <xf numFmtId="0" fontId="8" fillId="0" borderId="0" xfId="0" applyFont="1" applyAlignment="1">
      <alignmen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[Messy_Sales_Dataset_500_Rows (1).xlsx]Analysis!PivotTable1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Analysis!$A$4:$A$5</c:f>
              <c:strCache>
                <c:ptCount val="1"/>
                <c:pt idx="0">
                  <c:v>Lagos</c:v>
                </c:pt>
              </c:strCache>
            </c:strRef>
          </c:cat>
          <c:val>
            <c:numRef>
              <c:f>Analysis!$B$4:$B$5</c:f>
              <c:numCache>
                <c:formatCode>[$₦-469]\ #,##0</c:formatCode>
                <c:ptCount val="1"/>
                <c:pt idx="0">
                  <c:v>705600</c:v>
                </c:pt>
              </c:numCache>
            </c:numRef>
          </c:val>
          <c:extLst>
            <c:ext xmlns:c16="http://schemas.microsoft.com/office/drawing/2014/chart" uri="{C3380CC4-5D6E-409C-BE32-E72D297353CC}">
              <c16:uniqueId val="{00000000-8A94-4BE3-BC49-703F0D427B83}"/>
            </c:ext>
          </c:extLst>
        </c:ser>
        <c:dLbls>
          <c:showLegendKey val="0"/>
          <c:showVal val="0"/>
          <c:showCatName val="0"/>
          <c:showSerName val="0"/>
          <c:showPercent val="0"/>
          <c:showBubbleSize val="0"/>
        </c:dLbls>
        <c:gapWidth val="219"/>
        <c:overlap val="-27"/>
        <c:axId val="1528910127"/>
        <c:axId val="1526740527"/>
      </c:barChart>
      <c:catAx>
        <c:axId val="15289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740527"/>
        <c:crosses val="autoZero"/>
        <c:auto val="1"/>
        <c:lblAlgn val="ctr"/>
        <c:lblOffset val="100"/>
        <c:noMultiLvlLbl val="0"/>
      </c:catAx>
      <c:valAx>
        <c:axId val="1526740527"/>
        <c:scaling>
          <c:orientation val="minMax"/>
        </c:scaling>
        <c:delete val="0"/>
        <c:axPos val="l"/>
        <c:majorGridlines>
          <c:spPr>
            <a:ln w="9525" cap="flat" cmpd="sng" algn="ctr">
              <a:solidFill>
                <a:schemeClr val="tx1">
                  <a:lumMod val="15000"/>
                  <a:lumOff val="85000"/>
                </a:schemeClr>
              </a:solidFill>
              <a:round/>
            </a:ln>
            <a:effectLst/>
          </c:spPr>
        </c:majorGridlines>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91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[Messy_Sales_Dataset_500_Rows (1).xlsx]Analysis!PivotTable3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Analysis!$I$3</c:f>
              <c:strCache>
                <c:ptCount val="1"/>
                <c:pt idx="0">
                  <c:v>Total</c:v>
                </c:pt>
              </c:strCache>
            </c:strRef>
          </c:tx>
          <c:spPr>
            <a:solidFill>
              <a:schemeClr val="accent1"/>
            </a:solidFill>
            <a:ln>
              <a:noFill/>
            </a:ln>
            <a:effectLst/>
          </c:spPr>
          <c:invertIfNegative val="0"/>
          <c:cat>
            <c:strRef>
              <c:f>Analysis!$H$4:$H$9</c:f>
              <c:strCache>
                <c:ptCount val="5"/>
                <c:pt idx="0">
                  <c:v>Bakery</c:v>
                </c:pt>
                <c:pt idx="1">
                  <c:v>Dairy</c:v>
                </c:pt>
                <c:pt idx="2">
                  <c:v>Drinks</c:v>
                </c:pt>
                <c:pt idx="3">
                  <c:v>Food</c:v>
                </c:pt>
                <c:pt idx="4">
                  <c:v>Grocery</c:v>
                </c:pt>
              </c:strCache>
            </c:strRef>
          </c:cat>
          <c:val>
            <c:numRef>
              <c:f>Analysis!$I$4:$I$9</c:f>
              <c:numCache>
                <c:formatCode>[$₦-469]\ #,##0</c:formatCode>
                <c:ptCount val="5"/>
                <c:pt idx="0">
                  <c:v>52800</c:v>
                </c:pt>
                <c:pt idx="1">
                  <c:v>72000</c:v>
                </c:pt>
                <c:pt idx="2">
                  <c:v>14000</c:v>
                </c:pt>
                <c:pt idx="3">
                  <c:v>216300</c:v>
                </c:pt>
                <c:pt idx="4">
                  <c:v>350500</c:v>
                </c:pt>
              </c:numCache>
            </c:numRef>
          </c:val>
          <c:extLst>
            <c:ext xmlns:c16="http://schemas.microsoft.com/office/drawing/2014/chart" uri="{C3380CC4-5D6E-409C-BE32-E72D297353CC}">
              <c16:uniqueId val="{00000000-72E4-4CF8-B736-73C3B8F3AE63}"/>
            </c:ext>
          </c:extLst>
        </c:ser>
        <c:dLbls>
          <c:showLegendKey val="0"/>
          <c:showVal val="0"/>
          <c:showCatName val="0"/>
          <c:showSerName val="0"/>
          <c:showPercent val="0"/>
          <c:showBubbleSize val="0"/>
        </c:dLbls>
        <c:gapWidth val="182"/>
        <c:axId val="1526206895"/>
        <c:axId val="1337898319"/>
      </c:barChart>
      <c:catAx>
        <c:axId val="152620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898319"/>
        <c:crosses val="autoZero"/>
        <c:auto val="1"/>
        <c:lblAlgn val="ctr"/>
        <c:lblOffset val="100"/>
        <c:noMultiLvlLbl val="0"/>
      </c:catAx>
      <c:valAx>
        <c:axId val="1337898319"/>
        <c:scaling>
          <c:orientation val="minMax"/>
        </c:scaling>
        <c:delete val="0"/>
        <c:axPos val="b"/>
        <c:majorGridlines>
          <c:spPr>
            <a:ln w="9525" cap="flat" cmpd="sng" algn="ctr">
              <a:solidFill>
                <a:schemeClr val="tx1">
                  <a:lumMod val="15000"/>
                  <a:lumOff val="85000"/>
                </a:schemeClr>
              </a:solidFill>
              <a:round/>
            </a:ln>
            <a:effectLst/>
          </c:spPr>
        </c:majorGridlines>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2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[Messy_Sales_Dataset_500_Rows (1).xlsx]Analysis!PivotTable10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Analysis!$B$20</c:f>
              <c:strCache>
                <c:ptCount val="1"/>
                <c:pt idx="0">
                  <c:v>Total</c:v>
                </c:pt>
              </c:strCache>
            </c:strRef>
          </c:tx>
          <c:spPr>
            <a:ln w="28575" cap="rnd">
              <a:solidFill>
                <a:schemeClr val="accent1"/>
              </a:solidFill>
              <a:round/>
            </a:ln>
            <a:effectLst/>
          </c:spPr>
          <c:marker>
            <c:symbol val="none"/>
          </c:marker>
          <c:cat>
            <c:strRef>
              <c:f>Analysis!$A$21:$A$32</c:f>
              <c:strCache>
                <c:ptCount val="11"/>
                <c:pt idx="0">
                  <c:v>Jan</c:v>
                </c:pt>
                <c:pt idx="1">
                  <c:v>Feb</c:v>
                </c:pt>
                <c:pt idx="2">
                  <c:v>Mar</c:v>
                </c:pt>
                <c:pt idx="3">
                  <c:v>Apr</c:v>
                </c:pt>
                <c:pt idx="4">
                  <c:v>May</c:v>
                </c:pt>
                <c:pt idx="5">
                  <c:v>Jun</c:v>
                </c:pt>
                <c:pt idx="6">
                  <c:v>Jul</c:v>
                </c:pt>
                <c:pt idx="7">
                  <c:v>Aug</c:v>
                </c:pt>
                <c:pt idx="8">
                  <c:v>Oct</c:v>
                </c:pt>
                <c:pt idx="9">
                  <c:v>Nov</c:v>
                </c:pt>
                <c:pt idx="10">
                  <c:v>Dec</c:v>
                </c:pt>
              </c:strCache>
            </c:strRef>
          </c:cat>
          <c:val>
            <c:numRef>
              <c:f>Analysis!$B$21:$B$32</c:f>
              <c:numCache>
                <c:formatCode>[$₦-469]\ #,##0</c:formatCode>
                <c:ptCount val="11"/>
                <c:pt idx="0">
                  <c:v>69700</c:v>
                </c:pt>
                <c:pt idx="1">
                  <c:v>40000</c:v>
                </c:pt>
                <c:pt idx="2">
                  <c:v>173400</c:v>
                </c:pt>
                <c:pt idx="3">
                  <c:v>86200</c:v>
                </c:pt>
                <c:pt idx="4">
                  <c:v>35800</c:v>
                </c:pt>
                <c:pt idx="5">
                  <c:v>18600</c:v>
                </c:pt>
                <c:pt idx="6">
                  <c:v>61500</c:v>
                </c:pt>
                <c:pt idx="7">
                  <c:v>39400</c:v>
                </c:pt>
                <c:pt idx="8">
                  <c:v>44500</c:v>
                </c:pt>
                <c:pt idx="9">
                  <c:v>49500</c:v>
                </c:pt>
                <c:pt idx="10">
                  <c:v>87000</c:v>
                </c:pt>
              </c:numCache>
            </c:numRef>
          </c:val>
          <c:smooth val="0"/>
          <c:extLst>
            <c:ext xmlns:c16="http://schemas.microsoft.com/office/drawing/2014/chart" uri="{C3380CC4-5D6E-409C-BE32-E72D297353CC}">
              <c16:uniqueId val="{00000000-6FD9-451C-A00F-2D2C4837865D}"/>
            </c:ext>
          </c:extLst>
        </c:ser>
        <c:dLbls>
          <c:showLegendKey val="0"/>
          <c:showVal val="0"/>
          <c:showCatName val="0"/>
          <c:showSerName val="0"/>
          <c:showPercent val="0"/>
          <c:showBubbleSize val="0"/>
        </c:dLbls>
        <c:smooth val="0"/>
        <c:axId val="1723996975"/>
        <c:axId val="1337912463"/>
      </c:lineChart>
      <c:catAx>
        <c:axId val="172399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912463"/>
        <c:crosses val="autoZero"/>
        <c:auto val="1"/>
        <c:lblAlgn val="ctr"/>
        <c:lblOffset val="100"/>
        <c:noMultiLvlLbl val="0"/>
      </c:catAx>
      <c:valAx>
        <c:axId val="1337912463"/>
        <c:scaling>
          <c:orientation val="minMax"/>
        </c:scaling>
        <c:delete val="0"/>
        <c:axPos val="l"/>
        <c:majorGridlines>
          <c:spPr>
            <a:ln w="9525" cap="flat" cmpd="sng" algn="ctr">
              <a:solidFill>
                <a:schemeClr val="tx1">
                  <a:lumMod val="15000"/>
                  <a:lumOff val="85000"/>
                </a:schemeClr>
              </a:solidFill>
              <a:round/>
            </a:ln>
            <a:effectLst/>
          </c:spPr>
        </c:majorGridlines>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9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[Messy_Sales_Dataset_500_Rows (1).xlsx]Analysis!PivotTable7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Analysis!$F$15</c:f>
              <c:strCache>
                <c:ptCount val="1"/>
                <c:pt idx="0">
                  <c:v>Total</c:v>
                </c:pt>
              </c:strCache>
            </c:strRef>
          </c:tx>
          <c:spPr>
            <a:solidFill>
              <a:schemeClr val="accent1"/>
            </a:solidFill>
            <a:ln>
              <a:noFill/>
            </a:ln>
            <a:effectLst/>
          </c:spPr>
          <c:invertIfNegative val="0"/>
          <c:cat>
            <c:strRef>
              <c:f>Analysis!$E$16:$E$21</c:f>
              <c:strCache>
                <c:ptCount val="5"/>
                <c:pt idx="0">
                  <c:v>Beans</c:v>
                </c:pt>
                <c:pt idx="1">
                  <c:v>Bread</c:v>
                </c:pt>
                <c:pt idx="2">
                  <c:v>Milk</c:v>
                </c:pt>
                <c:pt idx="3">
                  <c:v>Oil</c:v>
                </c:pt>
                <c:pt idx="4">
                  <c:v>Rice</c:v>
                </c:pt>
              </c:strCache>
            </c:strRef>
          </c:cat>
          <c:val>
            <c:numRef>
              <c:f>Analysis!$F$16:$F$21</c:f>
              <c:numCache>
                <c:formatCode>[$₦-469]\ #,##0</c:formatCode>
                <c:ptCount val="5"/>
                <c:pt idx="0">
                  <c:v>52500</c:v>
                </c:pt>
                <c:pt idx="1">
                  <c:v>52800</c:v>
                </c:pt>
                <c:pt idx="2">
                  <c:v>72000</c:v>
                </c:pt>
                <c:pt idx="3">
                  <c:v>335500</c:v>
                </c:pt>
                <c:pt idx="4">
                  <c:v>126000</c:v>
                </c:pt>
              </c:numCache>
            </c:numRef>
          </c:val>
          <c:extLst>
            <c:ext xmlns:c16="http://schemas.microsoft.com/office/drawing/2014/chart" uri="{C3380CC4-5D6E-409C-BE32-E72D297353CC}">
              <c16:uniqueId val="{00000000-583A-4323-802F-660131615E63}"/>
            </c:ext>
          </c:extLst>
        </c:ser>
        <c:dLbls>
          <c:showLegendKey val="0"/>
          <c:showVal val="0"/>
          <c:showCatName val="0"/>
          <c:showSerName val="0"/>
          <c:showPercent val="0"/>
          <c:showBubbleSize val="0"/>
        </c:dLbls>
        <c:gapWidth val="219"/>
        <c:overlap val="-27"/>
        <c:axId val="1523936543"/>
        <c:axId val="1526745519"/>
      </c:barChart>
      <c:catAx>
        <c:axId val="152393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745519"/>
        <c:crosses val="autoZero"/>
        <c:auto val="1"/>
        <c:lblAlgn val="ctr"/>
        <c:lblOffset val="100"/>
        <c:noMultiLvlLbl val="0"/>
      </c:catAx>
      <c:valAx>
        <c:axId val="1526745519"/>
        <c:scaling>
          <c:orientation val="minMax"/>
        </c:scaling>
        <c:delete val="0"/>
        <c:axPos val="l"/>
        <c:majorGridlines>
          <c:spPr>
            <a:ln w="9525" cap="flat" cmpd="sng" algn="ctr">
              <a:solidFill>
                <a:schemeClr val="tx1">
                  <a:lumMod val="15000"/>
                  <a:lumOff val="85000"/>
                </a:schemeClr>
              </a:solidFill>
              <a:round/>
            </a:ln>
            <a:effectLst/>
          </c:spPr>
        </c:majorGridlines>
        <c:numFmt formatCode="[$₦-46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93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5</xdr:row>
      <xdr:rowOff>0</xdr:rowOff>
    </xdr:from>
    <xdr:to>
      <xdr:col>3</xdr:col>
      <xdr:colOff>381000</xdr:colOff>
      <xdr:row>14</xdr:row>
      <xdr:rowOff>139700</xdr:rowOff>
    </xdr:to>
    <xdr:graphicFrame macro="">
      <xdr:nvGraphicFramePr>
        <xdr:cNvPr id="2" name="Chart 1">
          <a:extLst>
            <a:ext uri="{FF2B5EF4-FFF2-40B4-BE49-F238E27FC236}">
              <a16:creationId xmlns:a16="http://schemas.microsoft.com/office/drawing/2014/main" id="{3F7FBA9C-513E-4BE3-A190-36AE984A5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488950</xdr:colOff>
      <xdr:row>5</xdr:row>
      <xdr:rowOff>0</xdr:rowOff>
    </xdr:from>
    <xdr:to>
      <xdr:col>8</xdr:col>
      <xdr:colOff>342900</xdr:colOff>
      <xdr:row>14</xdr:row>
      <xdr:rowOff>133350</xdr:rowOff>
    </xdr:to>
    <xdr:graphicFrame macro="">
      <xdr:nvGraphicFramePr>
        <xdr:cNvPr id="3" name="Chart 2">
          <a:extLst>
            <a:ext uri="{FF2B5EF4-FFF2-40B4-BE49-F238E27FC236}">
              <a16:creationId xmlns:a16="http://schemas.microsoft.com/office/drawing/2014/main" id="{B710F5B3-DDF0-4943-9C21-C49676C91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520700</xdr:colOff>
      <xdr:row>5</xdr:row>
      <xdr:rowOff>0</xdr:rowOff>
    </xdr:from>
    <xdr:to>
      <xdr:col>15</xdr:col>
      <xdr:colOff>469900</xdr:colOff>
      <xdr:row>14</xdr:row>
      <xdr:rowOff>82550</xdr:rowOff>
    </xdr:to>
    <xdr:graphicFrame macro="">
      <xdr:nvGraphicFramePr>
        <xdr:cNvPr id="4" name="Chart 3">
          <a:extLst>
            <a:ext uri="{FF2B5EF4-FFF2-40B4-BE49-F238E27FC236}">
              <a16:creationId xmlns:a16="http://schemas.microsoft.com/office/drawing/2014/main" id="{125CC9B2-8E2A-4093-8B19-EAF84FFB3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234950</xdr:colOff>
      <xdr:row>18</xdr:row>
      <xdr:rowOff>12700</xdr:rowOff>
    </xdr:from>
    <xdr:to>
      <xdr:col>4</xdr:col>
      <xdr:colOff>400050</xdr:colOff>
      <xdr:row>34</xdr:row>
      <xdr:rowOff>152400</xdr:rowOff>
    </xdr:to>
    <xdr:graphicFrame macro="">
      <xdr:nvGraphicFramePr>
        <xdr:cNvPr id="5" name="Chart 4">
          <a:extLst>
            <a:ext uri="{FF2B5EF4-FFF2-40B4-BE49-F238E27FC236}">
              <a16:creationId xmlns:a16="http://schemas.microsoft.com/office/drawing/2014/main" id="{25CA3E8C-2D02-499A-8ACB-59F47701E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5</xdr:row>
      <xdr:rowOff>0</xdr:rowOff>
    </xdr:from>
    <xdr:to>
      <xdr:col>17</xdr:col>
      <xdr:colOff>374650</xdr:colOff>
      <xdr:row>15</xdr:row>
      <xdr:rowOff>34925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E33C11C-EABF-4109-AC94-85239E885B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11100" y="1568450"/>
              <a:ext cx="9842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5</xdr:row>
      <xdr:rowOff>0</xdr:rowOff>
    </xdr:from>
    <xdr:to>
      <xdr:col>21</xdr:col>
      <xdr:colOff>0</xdr:colOff>
      <xdr:row>15</xdr:row>
      <xdr:rowOff>34925</xdr:rowOff>
    </xdr:to>
    <mc:AlternateContent xmlns:mc="http://schemas.openxmlformats.org/markup-compatibility/2006">
      <mc:Choice xmlns:a14="http://schemas.microsoft.com/office/drawing/2010/main" Requires="a14">
        <xdr:graphicFrame macro="">
          <xdr:nvGraphicFramePr>
            <xdr:cNvPr id="8" name="Quantity">
              <a:extLst>
                <a:ext uri="{FF2B5EF4-FFF2-40B4-BE49-F238E27FC236}">
                  <a16:creationId xmlns:a16="http://schemas.microsoft.com/office/drawing/2014/main" id="{A2989C42-6345-479D-BF7F-6D9EB271627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3830300" y="1568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260350</xdr:colOff>
      <xdr:row>5</xdr:row>
      <xdr:rowOff>57150</xdr:rowOff>
    </xdr:from>
    <xdr:to>
      <xdr:col>24</xdr:col>
      <xdr:colOff>0</xdr:colOff>
      <xdr:row>15</xdr:row>
      <xdr:rowOff>34925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27EA24A-ED11-470D-9CC2-E42BFCBC24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919450" y="1625600"/>
              <a:ext cx="156845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177800</xdr:colOff>
      <xdr:row>4</xdr:row>
      <xdr:rowOff>215900</xdr:rowOff>
    </xdr:from>
    <xdr:to>
      <xdr:col>27</xdr:col>
      <xdr:colOff>0</xdr:colOff>
      <xdr:row>15</xdr:row>
      <xdr:rowOff>34925</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54B2A9B4-A089-42A1-9115-8571B8DD749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665700" y="1517650"/>
              <a:ext cx="1651000" cy="257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16</xdr:row>
      <xdr:rowOff>0</xdr:rowOff>
    </xdr:from>
    <xdr:to>
      <xdr:col>19</xdr:col>
      <xdr:colOff>0</xdr:colOff>
      <xdr:row>29</xdr:row>
      <xdr:rowOff>47625</xdr:rowOff>
    </xdr:to>
    <mc:AlternateContent xmlns:mc="http://schemas.openxmlformats.org/markup-compatibility/2006">
      <mc:Choice xmlns:a14="http://schemas.microsoft.com/office/drawing/2010/main" Requires="a14">
        <xdr:graphicFrame macro="">
          <xdr:nvGraphicFramePr>
            <xdr:cNvPr id="11" name="Date">
              <a:extLst>
                <a:ext uri="{FF2B5EF4-FFF2-40B4-BE49-F238E27FC236}">
                  <a16:creationId xmlns:a16="http://schemas.microsoft.com/office/drawing/2014/main" id="{B68A29A1-7E1C-4348-967E-8521A810025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2611100" y="424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7.676748495367" createdVersion="6" refreshedVersion="6" minRefreshableVersion="3" recordCount="500" xr:uid="{E70F6669-2830-4C02-BC1A-64CC5F1E6EE2}">
  <cacheSource type="worksheet">
    <worksheetSource ref="A2:I502" sheet="Data Cleaning"/>
  </cacheSource>
  <cacheFields count="9">
    <cacheField name="Order ID" numFmtId="0">
      <sharedItems/>
    </cacheField>
    <cacheField name="Date" numFmtId="169">
      <sharedItems containsSemiMixedTypes="0" containsNonDate="0" containsDate="1" containsString="0" minDate="2026-01-01T00:00:00" maxDate="2027-05-16T00:00:00" count="5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sharedItems>
      <fieldGroup base="1">
        <rangePr groupBy="months" startDate="2026-01-01T00:00:00" endDate="2027-05-16T00:00:00"/>
        <groupItems count="14">
          <s v="&lt;1/1/2026"/>
          <s v="Jan"/>
          <s v="Feb"/>
          <s v="Mar"/>
          <s v="Apr"/>
          <s v="May"/>
          <s v="Jun"/>
          <s v="Jul"/>
          <s v="Aug"/>
          <s v="Sep"/>
          <s v="Oct"/>
          <s v="Nov"/>
          <s v="Dec"/>
          <s v="&gt;5/16/2027"/>
        </groupItems>
      </fieldGroup>
    </cacheField>
    <cacheField name="Product" numFmtId="0">
      <sharedItems count="8">
        <s v="Pasta"/>
        <s v="Rice"/>
        <s v="Beverage"/>
        <s v="Sugar"/>
        <s v="Oil"/>
        <s v="Milk"/>
        <s v="Beans"/>
        <s v="Bread"/>
      </sharedItems>
    </cacheField>
    <cacheField name="Category" numFmtId="0">
      <sharedItems count="5">
        <s v="Food"/>
        <s v="Drinks"/>
        <s v="Grocery"/>
        <s v="Dairy"/>
        <s v="Bakery"/>
      </sharedItems>
    </cacheField>
    <cacheField name="Quantity" numFmtId="0">
      <sharedItems containsSemiMixedTypes="0" containsString="0" containsNumber="1" containsInteger="1" minValue="0" maxValue="15" count="16">
        <n v="12"/>
        <n v="10"/>
        <n v="1"/>
        <n v="2"/>
        <n v="11"/>
        <n v="9"/>
        <n v="15"/>
        <n v="6"/>
        <n v="7"/>
        <n v="4"/>
        <n v="5"/>
        <n v="14"/>
        <n v="13"/>
        <n v="8"/>
        <n v="0"/>
        <n v="3"/>
      </sharedItems>
    </cacheField>
    <cacheField name="Unit Price" numFmtId="0">
      <sharedItems containsMixedTypes="1" containsNumber="1" containsInteger="1" minValue="1000" maxValue="5500"/>
    </cacheField>
    <cacheField name="Total Sales" numFmtId="0">
      <sharedItems containsSemiMixedTypes="0" containsString="0" containsNumber="1" containsInteger="1" minValue="0" maxValue="82500"/>
    </cacheField>
    <cacheField name="Region" numFmtId="0">
      <sharedItems count="12">
        <s v="Benin"/>
        <s v="Abuja"/>
        <s v="Aba"/>
        <s v="Ibadan"/>
        <s v="Jos"/>
        <s v="Kano"/>
        <s v="Uyo"/>
        <s v="Enugu"/>
        <s v="Port Harcourt"/>
        <s v="Lagos"/>
        <s v="Owerri"/>
        <s v="Kaduna"/>
      </sharedItems>
    </cacheField>
    <cacheField name="Sales Rep" numFmtId="0">
      <sharedItems count="11">
        <s v="Esther"/>
        <s v="Unknown"/>
        <s v="Grace"/>
        <s v="Michael"/>
        <s v="Aisha"/>
        <s v="Peter"/>
        <s v="Chioma"/>
        <s v="Samuel"/>
        <s v="David"/>
        <s v="John"/>
        <s v="Mary"/>
      </sharedItems>
    </cacheField>
  </cacheFields>
  <extLst>
    <ext xmlns:x14="http://schemas.microsoft.com/office/spreadsheetml/2009/9/main" uri="{725AE2AE-9491-48be-B2B4-4EB974FC3084}">
      <x14:pivotCacheDefinition pivotCacheId="2089882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x v="0"/>
    <x v="0"/>
    <x v="0"/>
    <n v="1800"/>
    <n v="21600"/>
    <x v="0"/>
    <x v="0"/>
  </r>
  <r>
    <s v="ORD0002"/>
    <x v="1"/>
    <x v="1"/>
    <x v="0"/>
    <x v="1"/>
    <n v="3000"/>
    <n v="30000"/>
    <x v="1"/>
    <x v="1"/>
  </r>
  <r>
    <s v="ORD0003"/>
    <x v="2"/>
    <x v="2"/>
    <x v="1"/>
    <x v="2"/>
    <s v="1000"/>
    <n v="1000"/>
    <x v="2"/>
    <x v="2"/>
  </r>
  <r>
    <s v="ORD0004"/>
    <x v="3"/>
    <x v="3"/>
    <x v="2"/>
    <x v="3"/>
    <n v="1500"/>
    <n v="3000"/>
    <x v="3"/>
    <x v="3"/>
  </r>
  <r>
    <s v="ORD0005"/>
    <x v="4"/>
    <x v="4"/>
    <x v="2"/>
    <x v="4"/>
    <n v="5500"/>
    <n v="60500"/>
    <x v="0"/>
    <x v="3"/>
  </r>
  <r>
    <s v="ORD0006"/>
    <x v="5"/>
    <x v="5"/>
    <x v="3"/>
    <x v="5"/>
    <n v="2000"/>
    <n v="18000"/>
    <x v="4"/>
    <x v="4"/>
  </r>
  <r>
    <s v="ORD0007"/>
    <x v="6"/>
    <x v="0"/>
    <x v="0"/>
    <x v="6"/>
    <n v="1800"/>
    <n v="27000"/>
    <x v="5"/>
    <x v="0"/>
  </r>
  <r>
    <s v="ORD0008"/>
    <x v="7"/>
    <x v="0"/>
    <x v="0"/>
    <x v="7"/>
    <s v="1800"/>
    <n v="10800"/>
    <x v="6"/>
    <x v="2"/>
  </r>
  <r>
    <s v="ORD0009"/>
    <x v="8"/>
    <x v="6"/>
    <x v="0"/>
    <x v="4"/>
    <n v="2500"/>
    <n v="27500"/>
    <x v="4"/>
    <x v="4"/>
  </r>
  <r>
    <s v="ORD0010"/>
    <x v="9"/>
    <x v="4"/>
    <x v="2"/>
    <x v="8"/>
    <n v="5500"/>
    <n v="38500"/>
    <x v="7"/>
    <x v="5"/>
  </r>
  <r>
    <s v="ORD0011"/>
    <x v="10"/>
    <x v="1"/>
    <x v="0"/>
    <x v="9"/>
    <s v="3000"/>
    <n v="12000"/>
    <x v="2"/>
    <x v="0"/>
  </r>
  <r>
    <s v="ORD0012"/>
    <x v="11"/>
    <x v="5"/>
    <x v="3"/>
    <x v="10"/>
    <n v="2000"/>
    <n v="10000"/>
    <x v="1"/>
    <x v="5"/>
  </r>
  <r>
    <s v="ORD0013"/>
    <x v="12"/>
    <x v="1"/>
    <x v="0"/>
    <x v="11"/>
    <n v="3000"/>
    <n v="42000"/>
    <x v="7"/>
    <x v="6"/>
  </r>
  <r>
    <s v="ORD0014"/>
    <x v="13"/>
    <x v="1"/>
    <x v="0"/>
    <x v="12"/>
    <n v="3000"/>
    <n v="39000"/>
    <x v="3"/>
    <x v="7"/>
  </r>
  <r>
    <s v="ORD0015"/>
    <x v="14"/>
    <x v="4"/>
    <x v="2"/>
    <x v="9"/>
    <s v="5500"/>
    <n v="22000"/>
    <x v="2"/>
    <x v="4"/>
  </r>
  <r>
    <s v="ORD0016"/>
    <x v="15"/>
    <x v="4"/>
    <x v="2"/>
    <x v="10"/>
    <n v="5500"/>
    <n v="27500"/>
    <x v="8"/>
    <x v="8"/>
  </r>
  <r>
    <s v="ORD0017"/>
    <x v="16"/>
    <x v="0"/>
    <x v="0"/>
    <x v="13"/>
    <n v="1800"/>
    <n v="14400"/>
    <x v="4"/>
    <x v="9"/>
  </r>
  <r>
    <s v="ORD0018"/>
    <x v="17"/>
    <x v="4"/>
    <x v="2"/>
    <x v="8"/>
    <n v="5500"/>
    <n v="38500"/>
    <x v="9"/>
    <x v="6"/>
  </r>
  <r>
    <s v="ORD0019"/>
    <x v="18"/>
    <x v="0"/>
    <x v="0"/>
    <x v="13"/>
    <n v="1800"/>
    <n v="14400"/>
    <x v="5"/>
    <x v="4"/>
  </r>
  <r>
    <s v="ORD0020"/>
    <x v="19"/>
    <x v="6"/>
    <x v="0"/>
    <x v="5"/>
    <n v="2500"/>
    <n v="22500"/>
    <x v="6"/>
    <x v="9"/>
  </r>
  <r>
    <s v="ORD0021"/>
    <x v="20"/>
    <x v="2"/>
    <x v="1"/>
    <x v="13"/>
    <s v="1000"/>
    <n v="8000"/>
    <x v="5"/>
    <x v="8"/>
  </r>
  <r>
    <s v="ORD0022"/>
    <x v="21"/>
    <x v="7"/>
    <x v="4"/>
    <x v="4"/>
    <n v="1200"/>
    <n v="13200"/>
    <x v="1"/>
    <x v="6"/>
  </r>
  <r>
    <s v="ORD0023"/>
    <x v="22"/>
    <x v="1"/>
    <x v="0"/>
    <x v="13"/>
    <n v="3000"/>
    <n v="24000"/>
    <x v="9"/>
    <x v="7"/>
  </r>
  <r>
    <s v="ORD0024"/>
    <x v="23"/>
    <x v="7"/>
    <x v="4"/>
    <x v="3"/>
    <s v="1200"/>
    <n v="2400"/>
    <x v="8"/>
    <x v="4"/>
  </r>
  <r>
    <s v="ORD0025"/>
    <x v="24"/>
    <x v="3"/>
    <x v="2"/>
    <x v="14"/>
    <n v="1500"/>
    <n v="0"/>
    <x v="8"/>
    <x v="4"/>
  </r>
  <r>
    <s v="ORD0026"/>
    <x v="25"/>
    <x v="5"/>
    <x v="3"/>
    <x v="4"/>
    <n v="2000"/>
    <n v="22000"/>
    <x v="8"/>
    <x v="4"/>
  </r>
  <r>
    <s v="ORD0027"/>
    <x v="26"/>
    <x v="7"/>
    <x v="4"/>
    <x v="12"/>
    <n v="1200"/>
    <n v="15600"/>
    <x v="0"/>
    <x v="3"/>
  </r>
  <r>
    <s v="ORD0028"/>
    <x v="27"/>
    <x v="0"/>
    <x v="0"/>
    <x v="0"/>
    <n v="1800"/>
    <n v="21600"/>
    <x v="10"/>
    <x v="4"/>
  </r>
  <r>
    <s v="ORD0029"/>
    <x v="28"/>
    <x v="3"/>
    <x v="2"/>
    <x v="1"/>
    <n v="1500"/>
    <n v="15000"/>
    <x v="4"/>
    <x v="10"/>
  </r>
  <r>
    <s v="ORD0030"/>
    <x v="29"/>
    <x v="4"/>
    <x v="2"/>
    <x v="2"/>
    <n v="5500"/>
    <n v="5500"/>
    <x v="2"/>
    <x v="10"/>
  </r>
  <r>
    <s v="ORD0031"/>
    <x v="30"/>
    <x v="0"/>
    <x v="0"/>
    <x v="9"/>
    <n v="1800"/>
    <n v="7200"/>
    <x v="6"/>
    <x v="0"/>
  </r>
  <r>
    <s v="ORD0032"/>
    <x v="31"/>
    <x v="5"/>
    <x v="3"/>
    <x v="15"/>
    <n v="2000"/>
    <n v="6000"/>
    <x v="5"/>
    <x v="6"/>
  </r>
  <r>
    <s v="ORD0033"/>
    <x v="32"/>
    <x v="7"/>
    <x v="4"/>
    <x v="11"/>
    <n v="1200"/>
    <n v="16800"/>
    <x v="0"/>
    <x v="1"/>
  </r>
  <r>
    <s v="ORD0034"/>
    <x v="33"/>
    <x v="1"/>
    <x v="0"/>
    <x v="11"/>
    <n v="3000"/>
    <n v="42000"/>
    <x v="10"/>
    <x v="6"/>
  </r>
  <r>
    <s v="ORD0035"/>
    <x v="34"/>
    <x v="5"/>
    <x v="3"/>
    <x v="5"/>
    <n v="2000"/>
    <n v="18000"/>
    <x v="0"/>
    <x v="7"/>
  </r>
  <r>
    <s v="ORD0036"/>
    <x v="35"/>
    <x v="2"/>
    <x v="1"/>
    <x v="1"/>
    <n v="1000"/>
    <n v="10000"/>
    <x v="11"/>
    <x v="5"/>
  </r>
  <r>
    <s v="ORD0037"/>
    <x v="36"/>
    <x v="0"/>
    <x v="0"/>
    <x v="1"/>
    <n v="1800"/>
    <n v="18000"/>
    <x v="6"/>
    <x v="5"/>
  </r>
  <r>
    <s v="ORD0038"/>
    <x v="37"/>
    <x v="5"/>
    <x v="3"/>
    <x v="3"/>
    <n v="2000"/>
    <n v="4000"/>
    <x v="6"/>
    <x v="5"/>
  </r>
  <r>
    <s v="ORD0039"/>
    <x v="38"/>
    <x v="4"/>
    <x v="2"/>
    <x v="14"/>
    <n v="5500"/>
    <n v="0"/>
    <x v="6"/>
    <x v="3"/>
  </r>
  <r>
    <s v="ORD0040"/>
    <x v="39"/>
    <x v="7"/>
    <x v="4"/>
    <x v="12"/>
    <n v="1200"/>
    <n v="15600"/>
    <x v="4"/>
    <x v="10"/>
  </r>
  <r>
    <s v="ORD0041"/>
    <x v="40"/>
    <x v="2"/>
    <x v="1"/>
    <x v="15"/>
    <n v="1000"/>
    <n v="3000"/>
    <x v="4"/>
    <x v="10"/>
  </r>
  <r>
    <s v="ORD0042"/>
    <x v="41"/>
    <x v="6"/>
    <x v="0"/>
    <x v="12"/>
    <n v="2500"/>
    <n v="32500"/>
    <x v="1"/>
    <x v="10"/>
  </r>
  <r>
    <s v="ORD0043"/>
    <x v="42"/>
    <x v="0"/>
    <x v="0"/>
    <x v="15"/>
    <n v="1800"/>
    <n v="5400"/>
    <x v="5"/>
    <x v="5"/>
  </r>
  <r>
    <s v="ORD0044"/>
    <x v="43"/>
    <x v="0"/>
    <x v="0"/>
    <x v="6"/>
    <n v="1800"/>
    <n v="27000"/>
    <x v="8"/>
    <x v="3"/>
  </r>
  <r>
    <s v="ORD0045"/>
    <x v="44"/>
    <x v="7"/>
    <x v="4"/>
    <x v="4"/>
    <n v="1200"/>
    <n v="13200"/>
    <x v="0"/>
    <x v="3"/>
  </r>
  <r>
    <s v="ORD0046"/>
    <x v="45"/>
    <x v="6"/>
    <x v="0"/>
    <x v="3"/>
    <n v="2500"/>
    <n v="5000"/>
    <x v="5"/>
    <x v="5"/>
  </r>
  <r>
    <s v="ORD0047"/>
    <x v="46"/>
    <x v="2"/>
    <x v="1"/>
    <x v="0"/>
    <s v="1000"/>
    <n v="12000"/>
    <x v="6"/>
    <x v="2"/>
  </r>
  <r>
    <s v="ORD0048"/>
    <x v="47"/>
    <x v="1"/>
    <x v="0"/>
    <x v="0"/>
    <n v="3000"/>
    <n v="36000"/>
    <x v="4"/>
    <x v="0"/>
  </r>
  <r>
    <s v="ORD0049"/>
    <x v="48"/>
    <x v="0"/>
    <x v="0"/>
    <x v="1"/>
    <n v="1800"/>
    <n v="18000"/>
    <x v="6"/>
    <x v="4"/>
  </r>
  <r>
    <s v="ORD0050"/>
    <x v="49"/>
    <x v="4"/>
    <x v="2"/>
    <x v="4"/>
    <n v="5500"/>
    <n v="60500"/>
    <x v="5"/>
    <x v="10"/>
  </r>
  <r>
    <s v="ORD0051"/>
    <x v="50"/>
    <x v="3"/>
    <x v="2"/>
    <x v="5"/>
    <n v="1500"/>
    <n v="13500"/>
    <x v="8"/>
    <x v="4"/>
  </r>
  <r>
    <s v="ORD0052"/>
    <x v="51"/>
    <x v="6"/>
    <x v="0"/>
    <x v="12"/>
    <n v="2500"/>
    <n v="32500"/>
    <x v="10"/>
    <x v="9"/>
  </r>
  <r>
    <s v="ORD0053"/>
    <x v="52"/>
    <x v="7"/>
    <x v="4"/>
    <x v="12"/>
    <n v="1200"/>
    <n v="15600"/>
    <x v="1"/>
    <x v="7"/>
  </r>
  <r>
    <s v="ORD0054"/>
    <x v="53"/>
    <x v="7"/>
    <x v="4"/>
    <x v="2"/>
    <n v="1200"/>
    <n v="1200"/>
    <x v="11"/>
    <x v="5"/>
  </r>
  <r>
    <s v="ORD0055"/>
    <x v="54"/>
    <x v="5"/>
    <x v="3"/>
    <x v="15"/>
    <n v="2000"/>
    <n v="6000"/>
    <x v="0"/>
    <x v="7"/>
  </r>
  <r>
    <s v="ORD0056"/>
    <x v="55"/>
    <x v="5"/>
    <x v="3"/>
    <x v="0"/>
    <s v="2000"/>
    <n v="24000"/>
    <x v="8"/>
    <x v="7"/>
  </r>
  <r>
    <s v="ORD0057"/>
    <x v="56"/>
    <x v="2"/>
    <x v="1"/>
    <x v="8"/>
    <n v="1000"/>
    <n v="7000"/>
    <x v="8"/>
    <x v="10"/>
  </r>
  <r>
    <s v="ORD0058"/>
    <x v="57"/>
    <x v="1"/>
    <x v="0"/>
    <x v="4"/>
    <n v="3000"/>
    <n v="33000"/>
    <x v="2"/>
    <x v="0"/>
  </r>
  <r>
    <s v="ORD0059"/>
    <x v="58"/>
    <x v="0"/>
    <x v="0"/>
    <x v="4"/>
    <n v="1800"/>
    <n v="19800"/>
    <x v="5"/>
    <x v="9"/>
  </r>
  <r>
    <s v="ORD0060"/>
    <x v="59"/>
    <x v="7"/>
    <x v="4"/>
    <x v="1"/>
    <n v="1200"/>
    <n v="12000"/>
    <x v="3"/>
    <x v="10"/>
  </r>
  <r>
    <s v="ORD0061"/>
    <x v="60"/>
    <x v="5"/>
    <x v="3"/>
    <x v="14"/>
    <n v="2000"/>
    <n v="0"/>
    <x v="2"/>
    <x v="4"/>
  </r>
  <r>
    <s v="ORD0062"/>
    <x v="61"/>
    <x v="3"/>
    <x v="2"/>
    <x v="9"/>
    <n v="1500"/>
    <n v="6000"/>
    <x v="7"/>
    <x v="5"/>
  </r>
  <r>
    <s v="ORD0063"/>
    <x v="62"/>
    <x v="7"/>
    <x v="4"/>
    <x v="13"/>
    <n v="1200"/>
    <n v="9600"/>
    <x v="2"/>
    <x v="9"/>
  </r>
  <r>
    <s v="ORD0064"/>
    <x v="63"/>
    <x v="1"/>
    <x v="0"/>
    <x v="0"/>
    <n v="3000"/>
    <n v="36000"/>
    <x v="5"/>
    <x v="10"/>
  </r>
  <r>
    <s v="ORD0065"/>
    <x v="64"/>
    <x v="7"/>
    <x v="4"/>
    <x v="4"/>
    <n v="1200"/>
    <n v="13200"/>
    <x v="8"/>
    <x v="3"/>
  </r>
  <r>
    <s v="ORD0066"/>
    <x v="65"/>
    <x v="3"/>
    <x v="2"/>
    <x v="4"/>
    <n v="1500"/>
    <n v="16500"/>
    <x v="0"/>
    <x v="5"/>
  </r>
  <r>
    <s v="ORD0067"/>
    <x v="66"/>
    <x v="4"/>
    <x v="2"/>
    <x v="10"/>
    <n v="5500"/>
    <n v="27500"/>
    <x v="2"/>
    <x v="4"/>
  </r>
  <r>
    <s v="ORD0068"/>
    <x v="67"/>
    <x v="1"/>
    <x v="0"/>
    <x v="0"/>
    <n v="3000"/>
    <n v="36000"/>
    <x v="8"/>
    <x v="8"/>
  </r>
  <r>
    <s v="ORD0069"/>
    <x v="68"/>
    <x v="6"/>
    <x v="0"/>
    <x v="14"/>
    <n v="2500"/>
    <n v="0"/>
    <x v="11"/>
    <x v="0"/>
  </r>
  <r>
    <s v="ORD0070"/>
    <x v="69"/>
    <x v="1"/>
    <x v="0"/>
    <x v="12"/>
    <n v="3000"/>
    <n v="39000"/>
    <x v="9"/>
    <x v="8"/>
  </r>
  <r>
    <s v="ORD0071"/>
    <x v="70"/>
    <x v="4"/>
    <x v="2"/>
    <x v="10"/>
    <n v="5500"/>
    <n v="27500"/>
    <x v="6"/>
    <x v="8"/>
  </r>
  <r>
    <s v="ORD0072"/>
    <x v="71"/>
    <x v="2"/>
    <x v="1"/>
    <x v="1"/>
    <n v="1000"/>
    <n v="10000"/>
    <x v="2"/>
    <x v="6"/>
  </r>
  <r>
    <s v="ORD0073"/>
    <x v="72"/>
    <x v="4"/>
    <x v="2"/>
    <x v="8"/>
    <n v="5500"/>
    <n v="38500"/>
    <x v="3"/>
    <x v="7"/>
  </r>
  <r>
    <s v="ORD0074"/>
    <x v="73"/>
    <x v="3"/>
    <x v="2"/>
    <x v="5"/>
    <s v="1500"/>
    <n v="13500"/>
    <x v="4"/>
    <x v="9"/>
  </r>
  <r>
    <s v="ORD0075"/>
    <x v="74"/>
    <x v="5"/>
    <x v="3"/>
    <x v="12"/>
    <n v="2000"/>
    <n v="26000"/>
    <x v="11"/>
    <x v="8"/>
  </r>
  <r>
    <s v="ORD0076"/>
    <x v="75"/>
    <x v="5"/>
    <x v="3"/>
    <x v="11"/>
    <n v="2000"/>
    <n v="28000"/>
    <x v="1"/>
    <x v="5"/>
  </r>
  <r>
    <s v="ORD0077"/>
    <x v="76"/>
    <x v="2"/>
    <x v="1"/>
    <x v="13"/>
    <n v="1000"/>
    <n v="8000"/>
    <x v="0"/>
    <x v="6"/>
  </r>
  <r>
    <s v="ORD0078"/>
    <x v="77"/>
    <x v="6"/>
    <x v="0"/>
    <x v="10"/>
    <n v="2500"/>
    <n v="12500"/>
    <x v="2"/>
    <x v="5"/>
  </r>
  <r>
    <s v="ORD0079"/>
    <x v="78"/>
    <x v="6"/>
    <x v="0"/>
    <x v="3"/>
    <n v="2500"/>
    <n v="5000"/>
    <x v="5"/>
    <x v="4"/>
  </r>
  <r>
    <s v="ORD0080"/>
    <x v="79"/>
    <x v="3"/>
    <x v="2"/>
    <x v="10"/>
    <n v="1500"/>
    <n v="7500"/>
    <x v="0"/>
    <x v="0"/>
  </r>
  <r>
    <s v="ORD0081"/>
    <x v="80"/>
    <x v="3"/>
    <x v="2"/>
    <x v="6"/>
    <n v="1500"/>
    <n v="22500"/>
    <x v="7"/>
    <x v="7"/>
  </r>
  <r>
    <s v="ORD0082"/>
    <x v="81"/>
    <x v="0"/>
    <x v="0"/>
    <x v="13"/>
    <s v="1800"/>
    <n v="14400"/>
    <x v="10"/>
    <x v="6"/>
  </r>
  <r>
    <s v="ORD0083"/>
    <x v="82"/>
    <x v="2"/>
    <x v="1"/>
    <x v="10"/>
    <n v="1000"/>
    <n v="5000"/>
    <x v="1"/>
    <x v="2"/>
  </r>
  <r>
    <s v="ORD0084"/>
    <x v="83"/>
    <x v="3"/>
    <x v="2"/>
    <x v="1"/>
    <n v="1500"/>
    <n v="15000"/>
    <x v="10"/>
    <x v="6"/>
  </r>
  <r>
    <s v="ORD0085"/>
    <x v="84"/>
    <x v="5"/>
    <x v="3"/>
    <x v="8"/>
    <n v="2000"/>
    <n v="14000"/>
    <x v="4"/>
    <x v="4"/>
  </r>
  <r>
    <s v="ORD0086"/>
    <x v="85"/>
    <x v="5"/>
    <x v="3"/>
    <x v="5"/>
    <n v="2000"/>
    <n v="18000"/>
    <x v="3"/>
    <x v="8"/>
  </r>
  <r>
    <s v="ORD0087"/>
    <x v="86"/>
    <x v="6"/>
    <x v="0"/>
    <x v="4"/>
    <n v="2500"/>
    <n v="27500"/>
    <x v="1"/>
    <x v="10"/>
  </r>
  <r>
    <s v="ORD0088"/>
    <x v="87"/>
    <x v="5"/>
    <x v="3"/>
    <x v="5"/>
    <n v="2000"/>
    <n v="18000"/>
    <x v="5"/>
    <x v="7"/>
  </r>
  <r>
    <s v="ORD0089"/>
    <x v="88"/>
    <x v="2"/>
    <x v="1"/>
    <x v="1"/>
    <n v="1000"/>
    <n v="10000"/>
    <x v="9"/>
    <x v="9"/>
  </r>
  <r>
    <s v="ORD0090"/>
    <x v="89"/>
    <x v="4"/>
    <x v="2"/>
    <x v="1"/>
    <n v="5500"/>
    <n v="55000"/>
    <x v="0"/>
    <x v="5"/>
  </r>
  <r>
    <s v="ORD0091"/>
    <x v="90"/>
    <x v="4"/>
    <x v="2"/>
    <x v="13"/>
    <n v="5500"/>
    <n v="44000"/>
    <x v="10"/>
    <x v="4"/>
  </r>
  <r>
    <s v="ORD0092"/>
    <x v="91"/>
    <x v="5"/>
    <x v="3"/>
    <x v="11"/>
    <n v="2000"/>
    <n v="28000"/>
    <x v="7"/>
    <x v="2"/>
  </r>
  <r>
    <s v="ORD0093"/>
    <x v="92"/>
    <x v="2"/>
    <x v="1"/>
    <x v="13"/>
    <n v="1000"/>
    <n v="8000"/>
    <x v="8"/>
    <x v="1"/>
  </r>
  <r>
    <s v="ORD0094"/>
    <x v="93"/>
    <x v="6"/>
    <x v="0"/>
    <x v="8"/>
    <n v="2500"/>
    <n v="17500"/>
    <x v="6"/>
    <x v="3"/>
  </r>
  <r>
    <s v="ORD0095"/>
    <x v="94"/>
    <x v="5"/>
    <x v="3"/>
    <x v="4"/>
    <n v="2000"/>
    <n v="22000"/>
    <x v="10"/>
    <x v="5"/>
  </r>
  <r>
    <s v="ORD0096"/>
    <x v="95"/>
    <x v="5"/>
    <x v="3"/>
    <x v="11"/>
    <n v="2000"/>
    <n v="28000"/>
    <x v="9"/>
    <x v="6"/>
  </r>
  <r>
    <s v="ORD0097"/>
    <x v="96"/>
    <x v="1"/>
    <x v="0"/>
    <x v="3"/>
    <n v="3000"/>
    <n v="6000"/>
    <x v="5"/>
    <x v="5"/>
  </r>
  <r>
    <s v="ORD0098"/>
    <x v="97"/>
    <x v="3"/>
    <x v="2"/>
    <x v="10"/>
    <n v="1500"/>
    <n v="7500"/>
    <x v="4"/>
    <x v="10"/>
  </r>
  <r>
    <s v="ORD0099"/>
    <x v="98"/>
    <x v="7"/>
    <x v="4"/>
    <x v="15"/>
    <n v="1200"/>
    <n v="3600"/>
    <x v="9"/>
    <x v="5"/>
  </r>
  <r>
    <s v="ORD0100"/>
    <x v="99"/>
    <x v="1"/>
    <x v="0"/>
    <x v="2"/>
    <n v="3000"/>
    <n v="3000"/>
    <x v="8"/>
    <x v="0"/>
  </r>
  <r>
    <s v="ORD0101"/>
    <x v="100"/>
    <x v="7"/>
    <x v="4"/>
    <x v="3"/>
    <n v="1200"/>
    <n v="2400"/>
    <x v="10"/>
    <x v="4"/>
  </r>
  <r>
    <s v="ORD0102"/>
    <x v="101"/>
    <x v="0"/>
    <x v="0"/>
    <x v="12"/>
    <s v="1800"/>
    <n v="23400"/>
    <x v="0"/>
    <x v="1"/>
  </r>
  <r>
    <s v="ORD0103"/>
    <x v="102"/>
    <x v="1"/>
    <x v="0"/>
    <x v="11"/>
    <n v="3000"/>
    <n v="42000"/>
    <x v="0"/>
    <x v="4"/>
  </r>
  <r>
    <s v="ORD0104"/>
    <x v="103"/>
    <x v="0"/>
    <x v="0"/>
    <x v="0"/>
    <n v="1800"/>
    <n v="21600"/>
    <x v="4"/>
    <x v="3"/>
  </r>
  <r>
    <s v="ORD0105"/>
    <x v="104"/>
    <x v="7"/>
    <x v="4"/>
    <x v="0"/>
    <n v="1200"/>
    <n v="14400"/>
    <x v="9"/>
    <x v="6"/>
  </r>
  <r>
    <s v="ORD0106"/>
    <x v="105"/>
    <x v="3"/>
    <x v="2"/>
    <x v="8"/>
    <n v="1500"/>
    <n v="10500"/>
    <x v="2"/>
    <x v="4"/>
  </r>
  <r>
    <s v="ORD0107"/>
    <x v="106"/>
    <x v="4"/>
    <x v="2"/>
    <x v="4"/>
    <n v="5500"/>
    <n v="60500"/>
    <x v="1"/>
    <x v="9"/>
  </r>
  <r>
    <s v="ORD0108"/>
    <x v="107"/>
    <x v="1"/>
    <x v="0"/>
    <x v="15"/>
    <n v="3000"/>
    <n v="9000"/>
    <x v="9"/>
    <x v="0"/>
  </r>
  <r>
    <s v="ORD0109"/>
    <x v="108"/>
    <x v="4"/>
    <x v="2"/>
    <x v="13"/>
    <n v="5500"/>
    <n v="44000"/>
    <x v="8"/>
    <x v="5"/>
  </r>
  <r>
    <s v="ORD0110"/>
    <x v="109"/>
    <x v="2"/>
    <x v="1"/>
    <x v="14"/>
    <n v="1000"/>
    <n v="0"/>
    <x v="3"/>
    <x v="9"/>
  </r>
  <r>
    <s v="ORD0111"/>
    <x v="110"/>
    <x v="6"/>
    <x v="0"/>
    <x v="15"/>
    <n v="2500"/>
    <n v="7500"/>
    <x v="1"/>
    <x v="5"/>
  </r>
  <r>
    <s v="ORD0112"/>
    <x v="111"/>
    <x v="0"/>
    <x v="0"/>
    <x v="6"/>
    <n v="1800"/>
    <n v="27000"/>
    <x v="11"/>
    <x v="9"/>
  </r>
  <r>
    <s v="ORD0113"/>
    <x v="112"/>
    <x v="3"/>
    <x v="2"/>
    <x v="9"/>
    <n v="1500"/>
    <n v="6000"/>
    <x v="6"/>
    <x v="7"/>
  </r>
  <r>
    <s v="ORD0114"/>
    <x v="113"/>
    <x v="2"/>
    <x v="1"/>
    <x v="2"/>
    <n v="1000"/>
    <n v="1000"/>
    <x v="10"/>
    <x v="6"/>
  </r>
  <r>
    <s v="ORD0115"/>
    <x v="114"/>
    <x v="1"/>
    <x v="0"/>
    <x v="2"/>
    <n v="3000"/>
    <n v="3000"/>
    <x v="4"/>
    <x v="2"/>
  </r>
  <r>
    <s v="ORD0116"/>
    <x v="115"/>
    <x v="2"/>
    <x v="1"/>
    <x v="7"/>
    <n v="1000"/>
    <n v="6000"/>
    <x v="3"/>
    <x v="6"/>
  </r>
  <r>
    <s v="ORD0117"/>
    <x v="116"/>
    <x v="1"/>
    <x v="0"/>
    <x v="12"/>
    <n v="3000"/>
    <n v="39000"/>
    <x v="4"/>
    <x v="9"/>
  </r>
  <r>
    <s v="ORD0118"/>
    <x v="117"/>
    <x v="6"/>
    <x v="0"/>
    <x v="0"/>
    <n v="2500"/>
    <n v="30000"/>
    <x v="6"/>
    <x v="7"/>
  </r>
  <r>
    <s v="ORD0119"/>
    <x v="118"/>
    <x v="6"/>
    <x v="0"/>
    <x v="5"/>
    <s v="2500"/>
    <n v="22500"/>
    <x v="10"/>
    <x v="8"/>
  </r>
  <r>
    <s v="ORD0120"/>
    <x v="119"/>
    <x v="1"/>
    <x v="0"/>
    <x v="12"/>
    <n v="3000"/>
    <n v="39000"/>
    <x v="5"/>
    <x v="6"/>
  </r>
  <r>
    <s v="ORD0121"/>
    <x v="120"/>
    <x v="7"/>
    <x v="4"/>
    <x v="15"/>
    <n v="1200"/>
    <n v="3600"/>
    <x v="10"/>
    <x v="10"/>
  </r>
  <r>
    <s v="ORD0122"/>
    <x v="121"/>
    <x v="6"/>
    <x v="0"/>
    <x v="10"/>
    <n v="2500"/>
    <n v="12500"/>
    <x v="7"/>
    <x v="1"/>
  </r>
  <r>
    <s v="ORD0123"/>
    <x v="122"/>
    <x v="2"/>
    <x v="1"/>
    <x v="7"/>
    <n v="1000"/>
    <n v="6000"/>
    <x v="1"/>
    <x v="7"/>
  </r>
  <r>
    <s v="ORD0124"/>
    <x v="123"/>
    <x v="4"/>
    <x v="2"/>
    <x v="15"/>
    <n v="5500"/>
    <n v="16500"/>
    <x v="0"/>
    <x v="8"/>
  </r>
  <r>
    <s v="ORD0125"/>
    <x v="124"/>
    <x v="0"/>
    <x v="0"/>
    <x v="9"/>
    <n v="1800"/>
    <n v="7200"/>
    <x v="2"/>
    <x v="9"/>
  </r>
  <r>
    <s v="ORD0126"/>
    <x v="125"/>
    <x v="2"/>
    <x v="1"/>
    <x v="13"/>
    <n v="1000"/>
    <n v="8000"/>
    <x v="4"/>
    <x v="2"/>
  </r>
  <r>
    <s v="ORD0127"/>
    <x v="126"/>
    <x v="0"/>
    <x v="0"/>
    <x v="12"/>
    <s v="1800"/>
    <n v="23400"/>
    <x v="4"/>
    <x v="5"/>
  </r>
  <r>
    <s v="ORD0128"/>
    <x v="127"/>
    <x v="6"/>
    <x v="0"/>
    <x v="2"/>
    <n v="2500"/>
    <n v="2500"/>
    <x v="11"/>
    <x v="5"/>
  </r>
  <r>
    <s v="ORD0129"/>
    <x v="128"/>
    <x v="0"/>
    <x v="0"/>
    <x v="1"/>
    <n v="1800"/>
    <n v="18000"/>
    <x v="1"/>
    <x v="7"/>
  </r>
  <r>
    <s v="ORD0130"/>
    <x v="129"/>
    <x v="6"/>
    <x v="0"/>
    <x v="4"/>
    <n v="2500"/>
    <n v="27500"/>
    <x v="2"/>
    <x v="9"/>
  </r>
  <r>
    <s v="ORD0131"/>
    <x v="130"/>
    <x v="5"/>
    <x v="3"/>
    <x v="3"/>
    <n v="2000"/>
    <n v="4000"/>
    <x v="3"/>
    <x v="7"/>
  </r>
  <r>
    <s v="ORD0132"/>
    <x v="131"/>
    <x v="6"/>
    <x v="0"/>
    <x v="2"/>
    <n v="2500"/>
    <n v="2500"/>
    <x v="7"/>
    <x v="1"/>
  </r>
  <r>
    <s v="ORD0133"/>
    <x v="132"/>
    <x v="0"/>
    <x v="0"/>
    <x v="5"/>
    <n v="1800"/>
    <n v="16200"/>
    <x v="6"/>
    <x v="8"/>
  </r>
  <r>
    <s v="ORD0134"/>
    <x v="133"/>
    <x v="5"/>
    <x v="3"/>
    <x v="15"/>
    <n v="2000"/>
    <n v="6000"/>
    <x v="7"/>
    <x v="0"/>
  </r>
  <r>
    <s v="ORD0135"/>
    <x v="134"/>
    <x v="7"/>
    <x v="4"/>
    <x v="14"/>
    <n v="1200"/>
    <n v="0"/>
    <x v="6"/>
    <x v="10"/>
  </r>
  <r>
    <s v="ORD0136"/>
    <x v="135"/>
    <x v="1"/>
    <x v="0"/>
    <x v="1"/>
    <n v="3000"/>
    <n v="30000"/>
    <x v="1"/>
    <x v="5"/>
  </r>
  <r>
    <s v="ORD0137"/>
    <x v="136"/>
    <x v="4"/>
    <x v="2"/>
    <x v="0"/>
    <n v="5500"/>
    <n v="66000"/>
    <x v="4"/>
    <x v="1"/>
  </r>
  <r>
    <s v="ORD0138"/>
    <x v="137"/>
    <x v="2"/>
    <x v="1"/>
    <x v="3"/>
    <s v="1000"/>
    <n v="2000"/>
    <x v="4"/>
    <x v="9"/>
  </r>
  <r>
    <s v="ORD0139"/>
    <x v="138"/>
    <x v="1"/>
    <x v="0"/>
    <x v="5"/>
    <n v="3000"/>
    <n v="27000"/>
    <x v="1"/>
    <x v="4"/>
  </r>
  <r>
    <s v="ORD0140"/>
    <x v="139"/>
    <x v="2"/>
    <x v="1"/>
    <x v="10"/>
    <n v="1000"/>
    <n v="5000"/>
    <x v="10"/>
    <x v="0"/>
  </r>
  <r>
    <s v="ORD0141"/>
    <x v="140"/>
    <x v="0"/>
    <x v="0"/>
    <x v="12"/>
    <n v="1800"/>
    <n v="23400"/>
    <x v="3"/>
    <x v="2"/>
  </r>
  <r>
    <s v="ORD0142"/>
    <x v="141"/>
    <x v="4"/>
    <x v="2"/>
    <x v="11"/>
    <s v="5500"/>
    <n v="77000"/>
    <x v="3"/>
    <x v="4"/>
  </r>
  <r>
    <s v="ORD0143"/>
    <x v="142"/>
    <x v="2"/>
    <x v="1"/>
    <x v="7"/>
    <n v="1000"/>
    <n v="6000"/>
    <x v="1"/>
    <x v="10"/>
  </r>
  <r>
    <s v="ORD0144"/>
    <x v="143"/>
    <x v="1"/>
    <x v="0"/>
    <x v="9"/>
    <n v="3000"/>
    <n v="12000"/>
    <x v="1"/>
    <x v="10"/>
  </r>
  <r>
    <s v="ORD0145"/>
    <x v="144"/>
    <x v="5"/>
    <x v="3"/>
    <x v="13"/>
    <n v="2000"/>
    <n v="16000"/>
    <x v="9"/>
    <x v="0"/>
  </r>
  <r>
    <s v="ORD0146"/>
    <x v="145"/>
    <x v="1"/>
    <x v="0"/>
    <x v="14"/>
    <n v="3000"/>
    <n v="0"/>
    <x v="4"/>
    <x v="10"/>
  </r>
  <r>
    <s v="ORD0147"/>
    <x v="146"/>
    <x v="3"/>
    <x v="2"/>
    <x v="12"/>
    <n v="1500"/>
    <n v="19500"/>
    <x v="8"/>
    <x v="2"/>
  </r>
  <r>
    <s v="ORD0148"/>
    <x v="147"/>
    <x v="4"/>
    <x v="2"/>
    <x v="14"/>
    <n v="5500"/>
    <n v="0"/>
    <x v="9"/>
    <x v="8"/>
  </r>
  <r>
    <s v="ORD0149"/>
    <x v="148"/>
    <x v="1"/>
    <x v="0"/>
    <x v="8"/>
    <n v="3000"/>
    <n v="21000"/>
    <x v="10"/>
    <x v="8"/>
  </r>
  <r>
    <s v="ORD0150"/>
    <x v="149"/>
    <x v="4"/>
    <x v="2"/>
    <x v="4"/>
    <n v="5500"/>
    <n v="60500"/>
    <x v="4"/>
    <x v="3"/>
  </r>
  <r>
    <s v="ORD0151"/>
    <x v="150"/>
    <x v="2"/>
    <x v="1"/>
    <x v="13"/>
    <n v="1000"/>
    <n v="8000"/>
    <x v="3"/>
    <x v="1"/>
  </r>
  <r>
    <s v="ORD0152"/>
    <x v="151"/>
    <x v="1"/>
    <x v="0"/>
    <x v="9"/>
    <n v="3000"/>
    <n v="12000"/>
    <x v="8"/>
    <x v="2"/>
  </r>
  <r>
    <s v="ORD0153"/>
    <x v="152"/>
    <x v="2"/>
    <x v="1"/>
    <x v="12"/>
    <n v="1000"/>
    <n v="13000"/>
    <x v="5"/>
    <x v="10"/>
  </r>
  <r>
    <s v="ORD0154"/>
    <x v="153"/>
    <x v="4"/>
    <x v="2"/>
    <x v="5"/>
    <n v="5500"/>
    <n v="49500"/>
    <x v="7"/>
    <x v="8"/>
  </r>
  <r>
    <s v="ORD0155"/>
    <x v="154"/>
    <x v="1"/>
    <x v="0"/>
    <x v="3"/>
    <n v="3000"/>
    <n v="6000"/>
    <x v="10"/>
    <x v="3"/>
  </r>
  <r>
    <s v="ORD0156"/>
    <x v="155"/>
    <x v="1"/>
    <x v="0"/>
    <x v="3"/>
    <n v="3000"/>
    <n v="6000"/>
    <x v="3"/>
    <x v="8"/>
  </r>
  <r>
    <s v="ORD0157"/>
    <x v="156"/>
    <x v="3"/>
    <x v="2"/>
    <x v="13"/>
    <n v="1500"/>
    <n v="12000"/>
    <x v="6"/>
    <x v="1"/>
  </r>
  <r>
    <s v="ORD0158"/>
    <x v="157"/>
    <x v="0"/>
    <x v="0"/>
    <x v="1"/>
    <n v="1800"/>
    <n v="18000"/>
    <x v="8"/>
    <x v="5"/>
  </r>
  <r>
    <s v="ORD0159"/>
    <x v="158"/>
    <x v="6"/>
    <x v="0"/>
    <x v="5"/>
    <n v="2500"/>
    <n v="22500"/>
    <x v="8"/>
    <x v="2"/>
  </r>
  <r>
    <s v="ORD0160"/>
    <x v="159"/>
    <x v="7"/>
    <x v="4"/>
    <x v="12"/>
    <n v="1200"/>
    <n v="15600"/>
    <x v="4"/>
    <x v="9"/>
  </r>
  <r>
    <s v="ORD0161"/>
    <x v="160"/>
    <x v="1"/>
    <x v="0"/>
    <x v="14"/>
    <n v="3000"/>
    <n v="0"/>
    <x v="10"/>
    <x v="0"/>
  </r>
  <r>
    <s v="ORD0162"/>
    <x v="161"/>
    <x v="2"/>
    <x v="1"/>
    <x v="4"/>
    <n v="1000"/>
    <n v="11000"/>
    <x v="6"/>
    <x v="4"/>
  </r>
  <r>
    <s v="ORD0163"/>
    <x v="162"/>
    <x v="1"/>
    <x v="0"/>
    <x v="10"/>
    <n v="3000"/>
    <n v="15000"/>
    <x v="10"/>
    <x v="4"/>
  </r>
  <r>
    <s v="ORD0164"/>
    <x v="163"/>
    <x v="7"/>
    <x v="4"/>
    <x v="8"/>
    <n v="1200"/>
    <n v="8400"/>
    <x v="6"/>
    <x v="10"/>
  </r>
  <r>
    <s v="ORD0165"/>
    <x v="164"/>
    <x v="1"/>
    <x v="0"/>
    <x v="5"/>
    <n v="3000"/>
    <n v="27000"/>
    <x v="10"/>
    <x v="7"/>
  </r>
  <r>
    <s v="ORD0166"/>
    <x v="165"/>
    <x v="3"/>
    <x v="2"/>
    <x v="7"/>
    <n v="1500"/>
    <n v="9000"/>
    <x v="2"/>
    <x v="5"/>
  </r>
  <r>
    <s v="ORD0167"/>
    <x v="166"/>
    <x v="4"/>
    <x v="2"/>
    <x v="0"/>
    <n v="5500"/>
    <n v="66000"/>
    <x v="10"/>
    <x v="0"/>
  </r>
  <r>
    <s v="ORD0168"/>
    <x v="167"/>
    <x v="2"/>
    <x v="1"/>
    <x v="9"/>
    <s v="1000"/>
    <n v="4000"/>
    <x v="11"/>
    <x v="1"/>
  </r>
  <r>
    <s v="ORD0169"/>
    <x v="168"/>
    <x v="0"/>
    <x v="0"/>
    <x v="13"/>
    <n v="1800"/>
    <n v="14400"/>
    <x v="5"/>
    <x v="6"/>
  </r>
  <r>
    <s v="ORD0170"/>
    <x v="169"/>
    <x v="7"/>
    <x v="4"/>
    <x v="0"/>
    <n v="1200"/>
    <n v="14400"/>
    <x v="6"/>
    <x v="5"/>
  </r>
  <r>
    <s v="ORD0171"/>
    <x v="170"/>
    <x v="2"/>
    <x v="1"/>
    <x v="10"/>
    <n v="1000"/>
    <n v="5000"/>
    <x v="10"/>
    <x v="10"/>
  </r>
  <r>
    <s v="ORD0172"/>
    <x v="171"/>
    <x v="4"/>
    <x v="2"/>
    <x v="13"/>
    <n v="5500"/>
    <n v="44000"/>
    <x v="7"/>
    <x v="6"/>
  </r>
  <r>
    <s v="ORD0173"/>
    <x v="172"/>
    <x v="7"/>
    <x v="4"/>
    <x v="15"/>
    <n v="1200"/>
    <n v="3600"/>
    <x v="9"/>
    <x v="0"/>
  </r>
  <r>
    <s v="ORD0174"/>
    <x v="173"/>
    <x v="5"/>
    <x v="3"/>
    <x v="15"/>
    <n v="2000"/>
    <n v="6000"/>
    <x v="3"/>
    <x v="8"/>
  </r>
  <r>
    <s v="ORD0175"/>
    <x v="174"/>
    <x v="4"/>
    <x v="2"/>
    <x v="12"/>
    <n v="5500"/>
    <n v="71500"/>
    <x v="2"/>
    <x v="4"/>
  </r>
  <r>
    <s v="ORD0176"/>
    <x v="175"/>
    <x v="5"/>
    <x v="3"/>
    <x v="14"/>
    <n v="2000"/>
    <n v="0"/>
    <x v="7"/>
    <x v="8"/>
  </r>
  <r>
    <s v="ORD0177"/>
    <x v="176"/>
    <x v="4"/>
    <x v="2"/>
    <x v="0"/>
    <n v="5500"/>
    <n v="66000"/>
    <x v="6"/>
    <x v="0"/>
  </r>
  <r>
    <s v="ORD0178"/>
    <x v="177"/>
    <x v="1"/>
    <x v="0"/>
    <x v="10"/>
    <n v="3000"/>
    <n v="15000"/>
    <x v="9"/>
    <x v="4"/>
  </r>
  <r>
    <s v="ORD0179"/>
    <x v="178"/>
    <x v="6"/>
    <x v="0"/>
    <x v="6"/>
    <n v="2500"/>
    <n v="37500"/>
    <x v="1"/>
    <x v="4"/>
  </r>
  <r>
    <s v="ORD0180"/>
    <x v="179"/>
    <x v="5"/>
    <x v="3"/>
    <x v="12"/>
    <n v="2000"/>
    <n v="26000"/>
    <x v="11"/>
    <x v="7"/>
  </r>
  <r>
    <s v="ORD0181"/>
    <x v="180"/>
    <x v="0"/>
    <x v="0"/>
    <x v="4"/>
    <n v="1800"/>
    <n v="19800"/>
    <x v="1"/>
    <x v="5"/>
  </r>
  <r>
    <s v="ORD0182"/>
    <x v="181"/>
    <x v="4"/>
    <x v="2"/>
    <x v="5"/>
    <n v="5500"/>
    <n v="49500"/>
    <x v="9"/>
    <x v="10"/>
  </r>
  <r>
    <s v="ORD0183"/>
    <x v="182"/>
    <x v="1"/>
    <x v="0"/>
    <x v="7"/>
    <n v="3000"/>
    <n v="18000"/>
    <x v="5"/>
    <x v="6"/>
  </r>
  <r>
    <s v="ORD0184"/>
    <x v="183"/>
    <x v="0"/>
    <x v="0"/>
    <x v="6"/>
    <n v="1800"/>
    <n v="27000"/>
    <x v="0"/>
    <x v="7"/>
  </r>
  <r>
    <s v="ORD0185"/>
    <x v="184"/>
    <x v="3"/>
    <x v="2"/>
    <x v="1"/>
    <n v="1500"/>
    <n v="15000"/>
    <x v="3"/>
    <x v="2"/>
  </r>
  <r>
    <s v="ORD0186"/>
    <x v="185"/>
    <x v="7"/>
    <x v="4"/>
    <x v="2"/>
    <n v="1200"/>
    <n v="1200"/>
    <x v="1"/>
    <x v="3"/>
  </r>
  <r>
    <s v="ORD0187"/>
    <x v="186"/>
    <x v="2"/>
    <x v="1"/>
    <x v="7"/>
    <n v="1000"/>
    <n v="6000"/>
    <x v="1"/>
    <x v="9"/>
  </r>
  <r>
    <s v="ORD0188"/>
    <x v="187"/>
    <x v="5"/>
    <x v="3"/>
    <x v="7"/>
    <n v="2000"/>
    <n v="12000"/>
    <x v="10"/>
    <x v="9"/>
  </r>
  <r>
    <s v="ORD0189"/>
    <x v="188"/>
    <x v="2"/>
    <x v="1"/>
    <x v="0"/>
    <n v="1000"/>
    <n v="12000"/>
    <x v="0"/>
    <x v="10"/>
  </r>
  <r>
    <s v="ORD0190"/>
    <x v="189"/>
    <x v="6"/>
    <x v="0"/>
    <x v="4"/>
    <n v="2500"/>
    <n v="27500"/>
    <x v="3"/>
    <x v="0"/>
  </r>
  <r>
    <s v="ORD0191"/>
    <x v="190"/>
    <x v="6"/>
    <x v="0"/>
    <x v="1"/>
    <n v="2500"/>
    <n v="25000"/>
    <x v="0"/>
    <x v="4"/>
  </r>
  <r>
    <s v="ORD0192"/>
    <x v="191"/>
    <x v="1"/>
    <x v="0"/>
    <x v="15"/>
    <n v="3000"/>
    <n v="9000"/>
    <x v="10"/>
    <x v="3"/>
  </r>
  <r>
    <s v="ORD0193"/>
    <x v="192"/>
    <x v="3"/>
    <x v="2"/>
    <x v="15"/>
    <n v="1500"/>
    <n v="4500"/>
    <x v="4"/>
    <x v="7"/>
  </r>
  <r>
    <s v="ORD0194"/>
    <x v="193"/>
    <x v="6"/>
    <x v="0"/>
    <x v="3"/>
    <s v="2500"/>
    <n v="5000"/>
    <x v="11"/>
    <x v="9"/>
  </r>
  <r>
    <s v="ORD0195"/>
    <x v="194"/>
    <x v="0"/>
    <x v="0"/>
    <x v="6"/>
    <n v="1800"/>
    <n v="27000"/>
    <x v="8"/>
    <x v="8"/>
  </r>
  <r>
    <s v="ORD0196"/>
    <x v="195"/>
    <x v="0"/>
    <x v="0"/>
    <x v="1"/>
    <n v="1800"/>
    <n v="18000"/>
    <x v="1"/>
    <x v="10"/>
  </r>
  <r>
    <s v="ORD0197"/>
    <x v="196"/>
    <x v="6"/>
    <x v="0"/>
    <x v="2"/>
    <n v="2500"/>
    <n v="2500"/>
    <x v="10"/>
    <x v="2"/>
  </r>
  <r>
    <s v="ORD0198"/>
    <x v="197"/>
    <x v="5"/>
    <x v="3"/>
    <x v="7"/>
    <n v="2000"/>
    <n v="12000"/>
    <x v="10"/>
    <x v="10"/>
  </r>
  <r>
    <s v="ORD0199"/>
    <x v="198"/>
    <x v="7"/>
    <x v="4"/>
    <x v="12"/>
    <n v="1200"/>
    <n v="15600"/>
    <x v="0"/>
    <x v="0"/>
  </r>
  <r>
    <s v="ORD0200"/>
    <x v="199"/>
    <x v="5"/>
    <x v="3"/>
    <x v="9"/>
    <n v="2000"/>
    <n v="8000"/>
    <x v="2"/>
    <x v="5"/>
  </r>
  <r>
    <s v="ORD0201"/>
    <x v="200"/>
    <x v="4"/>
    <x v="2"/>
    <x v="5"/>
    <n v="5500"/>
    <n v="49500"/>
    <x v="3"/>
    <x v="1"/>
  </r>
  <r>
    <s v="ORD0202"/>
    <x v="201"/>
    <x v="1"/>
    <x v="0"/>
    <x v="3"/>
    <n v="3000"/>
    <n v="6000"/>
    <x v="2"/>
    <x v="10"/>
  </r>
  <r>
    <s v="ORD0203"/>
    <x v="202"/>
    <x v="5"/>
    <x v="3"/>
    <x v="0"/>
    <n v="2000"/>
    <n v="24000"/>
    <x v="0"/>
    <x v="6"/>
  </r>
  <r>
    <s v="ORD0204"/>
    <x v="203"/>
    <x v="3"/>
    <x v="2"/>
    <x v="15"/>
    <n v="1500"/>
    <n v="4500"/>
    <x v="3"/>
    <x v="7"/>
  </r>
  <r>
    <s v="ORD0205"/>
    <x v="204"/>
    <x v="5"/>
    <x v="3"/>
    <x v="14"/>
    <n v="2000"/>
    <n v="0"/>
    <x v="3"/>
    <x v="10"/>
  </r>
  <r>
    <s v="ORD0206"/>
    <x v="205"/>
    <x v="4"/>
    <x v="2"/>
    <x v="6"/>
    <n v="5500"/>
    <n v="82500"/>
    <x v="8"/>
    <x v="3"/>
  </r>
  <r>
    <s v="ORD0207"/>
    <x v="206"/>
    <x v="3"/>
    <x v="2"/>
    <x v="0"/>
    <n v="1500"/>
    <n v="18000"/>
    <x v="0"/>
    <x v="3"/>
  </r>
  <r>
    <s v="ORD0208"/>
    <x v="207"/>
    <x v="4"/>
    <x v="2"/>
    <x v="15"/>
    <n v="5500"/>
    <n v="16500"/>
    <x v="4"/>
    <x v="8"/>
  </r>
  <r>
    <s v="ORD0209"/>
    <x v="208"/>
    <x v="0"/>
    <x v="0"/>
    <x v="9"/>
    <n v="1800"/>
    <n v="7200"/>
    <x v="10"/>
    <x v="0"/>
  </r>
  <r>
    <s v="ORD0210"/>
    <x v="209"/>
    <x v="3"/>
    <x v="2"/>
    <x v="11"/>
    <n v="1500"/>
    <n v="21000"/>
    <x v="5"/>
    <x v="10"/>
  </r>
  <r>
    <s v="ORD0211"/>
    <x v="210"/>
    <x v="6"/>
    <x v="0"/>
    <x v="8"/>
    <n v="2500"/>
    <n v="17500"/>
    <x v="7"/>
    <x v="4"/>
  </r>
  <r>
    <s v="ORD0212"/>
    <x v="211"/>
    <x v="3"/>
    <x v="2"/>
    <x v="13"/>
    <n v="1500"/>
    <n v="12000"/>
    <x v="9"/>
    <x v="8"/>
  </r>
  <r>
    <s v="ORD0213"/>
    <x v="212"/>
    <x v="1"/>
    <x v="0"/>
    <x v="2"/>
    <n v="3000"/>
    <n v="3000"/>
    <x v="1"/>
    <x v="6"/>
  </r>
  <r>
    <s v="ORD0214"/>
    <x v="213"/>
    <x v="6"/>
    <x v="0"/>
    <x v="7"/>
    <n v="2500"/>
    <n v="15000"/>
    <x v="9"/>
    <x v="4"/>
  </r>
  <r>
    <s v="ORD0215"/>
    <x v="214"/>
    <x v="6"/>
    <x v="0"/>
    <x v="8"/>
    <n v="2500"/>
    <n v="17500"/>
    <x v="5"/>
    <x v="7"/>
  </r>
  <r>
    <s v="ORD0216"/>
    <x v="215"/>
    <x v="5"/>
    <x v="3"/>
    <x v="13"/>
    <n v="2000"/>
    <n v="16000"/>
    <x v="10"/>
    <x v="1"/>
  </r>
  <r>
    <s v="ORD0217"/>
    <x v="216"/>
    <x v="7"/>
    <x v="4"/>
    <x v="10"/>
    <n v="1200"/>
    <n v="6000"/>
    <x v="2"/>
    <x v="4"/>
  </r>
  <r>
    <s v="ORD0218"/>
    <x v="217"/>
    <x v="6"/>
    <x v="0"/>
    <x v="4"/>
    <n v="2500"/>
    <n v="27500"/>
    <x v="0"/>
    <x v="8"/>
  </r>
  <r>
    <s v="ORD0219"/>
    <x v="218"/>
    <x v="4"/>
    <x v="2"/>
    <x v="1"/>
    <n v="5500"/>
    <n v="55000"/>
    <x v="11"/>
    <x v="4"/>
  </r>
  <r>
    <s v="ORD0220"/>
    <x v="219"/>
    <x v="0"/>
    <x v="0"/>
    <x v="10"/>
    <n v="1800"/>
    <n v="9000"/>
    <x v="3"/>
    <x v="4"/>
  </r>
  <r>
    <s v="ORD0221"/>
    <x v="220"/>
    <x v="4"/>
    <x v="2"/>
    <x v="2"/>
    <n v="5500"/>
    <n v="5500"/>
    <x v="2"/>
    <x v="9"/>
  </r>
  <r>
    <s v="ORD0222"/>
    <x v="221"/>
    <x v="0"/>
    <x v="0"/>
    <x v="3"/>
    <n v="1800"/>
    <n v="3600"/>
    <x v="0"/>
    <x v="3"/>
  </r>
  <r>
    <s v="ORD0223"/>
    <x v="222"/>
    <x v="6"/>
    <x v="0"/>
    <x v="13"/>
    <n v="2500"/>
    <n v="20000"/>
    <x v="11"/>
    <x v="4"/>
  </r>
  <r>
    <s v="ORD0224"/>
    <x v="223"/>
    <x v="6"/>
    <x v="0"/>
    <x v="3"/>
    <n v="2500"/>
    <n v="5000"/>
    <x v="3"/>
    <x v="8"/>
  </r>
  <r>
    <s v="ORD0225"/>
    <x v="224"/>
    <x v="7"/>
    <x v="4"/>
    <x v="14"/>
    <n v="1200"/>
    <n v="0"/>
    <x v="1"/>
    <x v="3"/>
  </r>
  <r>
    <s v="ORD0226"/>
    <x v="225"/>
    <x v="5"/>
    <x v="3"/>
    <x v="5"/>
    <n v="2000"/>
    <n v="18000"/>
    <x v="4"/>
    <x v="6"/>
  </r>
  <r>
    <s v="ORD0227"/>
    <x v="226"/>
    <x v="7"/>
    <x v="4"/>
    <x v="6"/>
    <n v="1200"/>
    <n v="18000"/>
    <x v="0"/>
    <x v="8"/>
  </r>
  <r>
    <s v="ORD0228"/>
    <x v="227"/>
    <x v="1"/>
    <x v="0"/>
    <x v="10"/>
    <n v="3000"/>
    <n v="15000"/>
    <x v="1"/>
    <x v="10"/>
  </r>
  <r>
    <s v="ORD0229"/>
    <x v="228"/>
    <x v="1"/>
    <x v="0"/>
    <x v="5"/>
    <n v="3000"/>
    <n v="27000"/>
    <x v="11"/>
    <x v="10"/>
  </r>
  <r>
    <s v="ORD0230"/>
    <x v="229"/>
    <x v="7"/>
    <x v="4"/>
    <x v="9"/>
    <n v="1200"/>
    <n v="4800"/>
    <x v="4"/>
    <x v="6"/>
  </r>
  <r>
    <s v="ORD0231"/>
    <x v="230"/>
    <x v="0"/>
    <x v="0"/>
    <x v="3"/>
    <s v="1800"/>
    <n v="3600"/>
    <x v="11"/>
    <x v="2"/>
  </r>
  <r>
    <s v="ORD0232"/>
    <x v="231"/>
    <x v="7"/>
    <x v="4"/>
    <x v="3"/>
    <n v="1200"/>
    <n v="2400"/>
    <x v="9"/>
    <x v="2"/>
  </r>
  <r>
    <s v="ORD0233"/>
    <x v="232"/>
    <x v="5"/>
    <x v="3"/>
    <x v="4"/>
    <n v="2000"/>
    <n v="22000"/>
    <x v="9"/>
    <x v="4"/>
  </r>
  <r>
    <s v="ORD0234"/>
    <x v="233"/>
    <x v="3"/>
    <x v="2"/>
    <x v="2"/>
    <n v="1500"/>
    <n v="1500"/>
    <x v="0"/>
    <x v="5"/>
  </r>
  <r>
    <s v="ORD0235"/>
    <x v="234"/>
    <x v="5"/>
    <x v="3"/>
    <x v="10"/>
    <n v="2000"/>
    <n v="10000"/>
    <x v="4"/>
    <x v="1"/>
  </r>
  <r>
    <s v="ORD0236"/>
    <x v="235"/>
    <x v="7"/>
    <x v="4"/>
    <x v="7"/>
    <n v="1200"/>
    <n v="7200"/>
    <x v="4"/>
    <x v="2"/>
  </r>
  <r>
    <s v="ORD0237"/>
    <x v="236"/>
    <x v="5"/>
    <x v="3"/>
    <x v="7"/>
    <s v="2000"/>
    <n v="12000"/>
    <x v="3"/>
    <x v="10"/>
  </r>
  <r>
    <s v="ORD0238"/>
    <x v="237"/>
    <x v="0"/>
    <x v="0"/>
    <x v="11"/>
    <n v="1800"/>
    <n v="25200"/>
    <x v="5"/>
    <x v="2"/>
  </r>
  <r>
    <s v="ORD0239"/>
    <x v="238"/>
    <x v="3"/>
    <x v="2"/>
    <x v="5"/>
    <n v="1500"/>
    <n v="13500"/>
    <x v="5"/>
    <x v="8"/>
  </r>
  <r>
    <s v="ORD0240"/>
    <x v="239"/>
    <x v="4"/>
    <x v="2"/>
    <x v="3"/>
    <n v="5500"/>
    <n v="11000"/>
    <x v="4"/>
    <x v="4"/>
  </r>
  <r>
    <s v="ORD0241"/>
    <x v="240"/>
    <x v="1"/>
    <x v="0"/>
    <x v="12"/>
    <n v="3000"/>
    <n v="39000"/>
    <x v="1"/>
    <x v="10"/>
  </r>
  <r>
    <s v="ORD0242"/>
    <x v="241"/>
    <x v="5"/>
    <x v="3"/>
    <x v="4"/>
    <s v="2000"/>
    <n v="22000"/>
    <x v="2"/>
    <x v="8"/>
  </r>
  <r>
    <s v="ORD0243"/>
    <x v="242"/>
    <x v="5"/>
    <x v="3"/>
    <x v="0"/>
    <n v="2000"/>
    <n v="24000"/>
    <x v="1"/>
    <x v="5"/>
  </r>
  <r>
    <s v="ORD0244"/>
    <x v="243"/>
    <x v="0"/>
    <x v="0"/>
    <x v="9"/>
    <n v="1800"/>
    <n v="7200"/>
    <x v="11"/>
    <x v="8"/>
  </r>
  <r>
    <s v="ORD0245"/>
    <x v="244"/>
    <x v="1"/>
    <x v="0"/>
    <x v="7"/>
    <s v="3000"/>
    <n v="18000"/>
    <x v="10"/>
    <x v="6"/>
  </r>
  <r>
    <s v="ORD0246"/>
    <x v="245"/>
    <x v="0"/>
    <x v="0"/>
    <x v="2"/>
    <s v="1800"/>
    <n v="1800"/>
    <x v="8"/>
    <x v="10"/>
  </r>
  <r>
    <s v="ORD0247"/>
    <x v="246"/>
    <x v="7"/>
    <x v="4"/>
    <x v="7"/>
    <n v="1200"/>
    <n v="7200"/>
    <x v="5"/>
    <x v="10"/>
  </r>
  <r>
    <s v="ORD0248"/>
    <x v="247"/>
    <x v="7"/>
    <x v="4"/>
    <x v="6"/>
    <n v="1200"/>
    <n v="18000"/>
    <x v="1"/>
    <x v="10"/>
  </r>
  <r>
    <s v="ORD0249"/>
    <x v="248"/>
    <x v="3"/>
    <x v="2"/>
    <x v="15"/>
    <n v="1500"/>
    <n v="4500"/>
    <x v="6"/>
    <x v="5"/>
  </r>
  <r>
    <s v="ORD0250"/>
    <x v="249"/>
    <x v="3"/>
    <x v="2"/>
    <x v="12"/>
    <n v="1500"/>
    <n v="19500"/>
    <x v="10"/>
    <x v="3"/>
  </r>
  <r>
    <s v="ORD0251"/>
    <x v="250"/>
    <x v="6"/>
    <x v="0"/>
    <x v="10"/>
    <n v="2500"/>
    <n v="12500"/>
    <x v="3"/>
    <x v="7"/>
  </r>
  <r>
    <s v="ORD0252"/>
    <x v="251"/>
    <x v="6"/>
    <x v="0"/>
    <x v="8"/>
    <n v="2500"/>
    <n v="17500"/>
    <x v="4"/>
    <x v="3"/>
  </r>
  <r>
    <s v="ORD0253"/>
    <x v="252"/>
    <x v="5"/>
    <x v="3"/>
    <x v="11"/>
    <n v="2000"/>
    <n v="28000"/>
    <x v="0"/>
    <x v="9"/>
  </r>
  <r>
    <s v="ORD0254"/>
    <x v="253"/>
    <x v="7"/>
    <x v="4"/>
    <x v="6"/>
    <n v="1200"/>
    <n v="18000"/>
    <x v="4"/>
    <x v="7"/>
  </r>
  <r>
    <s v="ORD0255"/>
    <x v="254"/>
    <x v="0"/>
    <x v="0"/>
    <x v="5"/>
    <s v="1800"/>
    <n v="16200"/>
    <x v="5"/>
    <x v="7"/>
  </r>
  <r>
    <s v="ORD0256"/>
    <x v="255"/>
    <x v="2"/>
    <x v="1"/>
    <x v="4"/>
    <n v="1000"/>
    <n v="11000"/>
    <x v="4"/>
    <x v="8"/>
  </r>
  <r>
    <s v="ORD0257"/>
    <x v="256"/>
    <x v="2"/>
    <x v="1"/>
    <x v="14"/>
    <n v="1000"/>
    <n v="0"/>
    <x v="0"/>
    <x v="10"/>
  </r>
  <r>
    <s v="ORD0258"/>
    <x v="257"/>
    <x v="6"/>
    <x v="0"/>
    <x v="1"/>
    <s v="2500"/>
    <n v="25000"/>
    <x v="0"/>
    <x v="7"/>
  </r>
  <r>
    <s v="ORD0259"/>
    <x v="258"/>
    <x v="2"/>
    <x v="1"/>
    <x v="12"/>
    <n v="1000"/>
    <n v="13000"/>
    <x v="3"/>
    <x v="7"/>
  </r>
  <r>
    <s v="ORD0260"/>
    <x v="259"/>
    <x v="3"/>
    <x v="2"/>
    <x v="15"/>
    <s v="1500"/>
    <n v="4500"/>
    <x v="4"/>
    <x v="6"/>
  </r>
  <r>
    <s v="ORD0261"/>
    <x v="260"/>
    <x v="6"/>
    <x v="0"/>
    <x v="0"/>
    <n v="2500"/>
    <n v="30000"/>
    <x v="5"/>
    <x v="0"/>
  </r>
  <r>
    <s v="ORD0262"/>
    <x v="261"/>
    <x v="0"/>
    <x v="0"/>
    <x v="0"/>
    <s v="1800"/>
    <n v="21600"/>
    <x v="5"/>
    <x v="2"/>
  </r>
  <r>
    <s v="ORD0263"/>
    <x v="262"/>
    <x v="0"/>
    <x v="0"/>
    <x v="5"/>
    <n v="1800"/>
    <n v="16200"/>
    <x v="4"/>
    <x v="10"/>
  </r>
  <r>
    <s v="ORD0264"/>
    <x v="263"/>
    <x v="3"/>
    <x v="2"/>
    <x v="6"/>
    <n v="1500"/>
    <n v="22500"/>
    <x v="5"/>
    <x v="5"/>
  </r>
  <r>
    <s v="ORD0265"/>
    <x v="264"/>
    <x v="4"/>
    <x v="2"/>
    <x v="5"/>
    <n v="5500"/>
    <n v="49500"/>
    <x v="11"/>
    <x v="8"/>
  </r>
  <r>
    <s v="ORD0266"/>
    <x v="265"/>
    <x v="7"/>
    <x v="4"/>
    <x v="6"/>
    <n v="1200"/>
    <n v="18000"/>
    <x v="1"/>
    <x v="10"/>
  </r>
  <r>
    <s v="ORD0267"/>
    <x v="266"/>
    <x v="4"/>
    <x v="2"/>
    <x v="2"/>
    <n v="5500"/>
    <n v="5500"/>
    <x v="8"/>
    <x v="3"/>
  </r>
  <r>
    <s v="ORD0268"/>
    <x v="267"/>
    <x v="6"/>
    <x v="0"/>
    <x v="12"/>
    <n v="2500"/>
    <n v="32500"/>
    <x v="5"/>
    <x v="2"/>
  </r>
  <r>
    <s v="ORD0269"/>
    <x v="268"/>
    <x v="1"/>
    <x v="0"/>
    <x v="13"/>
    <n v="3000"/>
    <n v="24000"/>
    <x v="4"/>
    <x v="8"/>
  </r>
  <r>
    <s v="ORD0270"/>
    <x v="269"/>
    <x v="1"/>
    <x v="0"/>
    <x v="6"/>
    <n v="3000"/>
    <n v="45000"/>
    <x v="3"/>
    <x v="0"/>
  </r>
  <r>
    <s v="ORD0271"/>
    <x v="270"/>
    <x v="2"/>
    <x v="1"/>
    <x v="11"/>
    <n v="1000"/>
    <n v="14000"/>
    <x v="8"/>
    <x v="4"/>
  </r>
  <r>
    <s v="ORD0272"/>
    <x v="271"/>
    <x v="0"/>
    <x v="0"/>
    <x v="3"/>
    <n v="1800"/>
    <n v="3600"/>
    <x v="10"/>
    <x v="4"/>
  </r>
  <r>
    <s v="ORD0273"/>
    <x v="272"/>
    <x v="3"/>
    <x v="2"/>
    <x v="13"/>
    <n v="1500"/>
    <n v="12000"/>
    <x v="7"/>
    <x v="0"/>
  </r>
  <r>
    <s v="ORD0274"/>
    <x v="273"/>
    <x v="5"/>
    <x v="3"/>
    <x v="13"/>
    <n v="2000"/>
    <n v="16000"/>
    <x v="5"/>
    <x v="7"/>
  </r>
  <r>
    <s v="ORD0275"/>
    <x v="274"/>
    <x v="5"/>
    <x v="3"/>
    <x v="8"/>
    <n v="2000"/>
    <n v="14000"/>
    <x v="1"/>
    <x v="10"/>
  </r>
  <r>
    <s v="ORD0276"/>
    <x v="275"/>
    <x v="6"/>
    <x v="0"/>
    <x v="6"/>
    <n v="2500"/>
    <n v="37500"/>
    <x v="9"/>
    <x v="6"/>
  </r>
  <r>
    <s v="ORD0277"/>
    <x v="276"/>
    <x v="7"/>
    <x v="4"/>
    <x v="0"/>
    <n v="1200"/>
    <n v="14400"/>
    <x v="3"/>
    <x v="2"/>
  </r>
  <r>
    <s v="ORD0278"/>
    <x v="277"/>
    <x v="2"/>
    <x v="1"/>
    <x v="0"/>
    <n v="1000"/>
    <n v="12000"/>
    <x v="6"/>
    <x v="4"/>
  </r>
  <r>
    <s v="ORD0279"/>
    <x v="278"/>
    <x v="7"/>
    <x v="4"/>
    <x v="3"/>
    <n v="1200"/>
    <n v="2400"/>
    <x v="0"/>
    <x v="3"/>
  </r>
  <r>
    <s v="ORD0280"/>
    <x v="279"/>
    <x v="4"/>
    <x v="2"/>
    <x v="9"/>
    <n v="5500"/>
    <n v="22000"/>
    <x v="10"/>
    <x v="3"/>
  </r>
  <r>
    <s v="ORD0281"/>
    <x v="280"/>
    <x v="1"/>
    <x v="0"/>
    <x v="3"/>
    <n v="3000"/>
    <n v="6000"/>
    <x v="7"/>
    <x v="10"/>
  </r>
  <r>
    <s v="ORD0282"/>
    <x v="281"/>
    <x v="2"/>
    <x v="1"/>
    <x v="6"/>
    <n v="1000"/>
    <n v="15000"/>
    <x v="10"/>
    <x v="3"/>
  </r>
  <r>
    <s v="ORD0283"/>
    <x v="282"/>
    <x v="3"/>
    <x v="2"/>
    <x v="3"/>
    <n v="1500"/>
    <n v="3000"/>
    <x v="9"/>
    <x v="2"/>
  </r>
  <r>
    <s v="ORD0284"/>
    <x v="283"/>
    <x v="3"/>
    <x v="2"/>
    <x v="2"/>
    <n v="1500"/>
    <n v="1500"/>
    <x v="5"/>
    <x v="9"/>
  </r>
  <r>
    <s v="ORD0285"/>
    <x v="284"/>
    <x v="0"/>
    <x v="0"/>
    <x v="8"/>
    <n v="1800"/>
    <n v="12600"/>
    <x v="1"/>
    <x v="6"/>
  </r>
  <r>
    <s v="ORD0286"/>
    <x v="285"/>
    <x v="7"/>
    <x v="4"/>
    <x v="13"/>
    <n v="1200"/>
    <n v="9600"/>
    <x v="3"/>
    <x v="7"/>
  </r>
  <r>
    <s v="ORD0287"/>
    <x v="286"/>
    <x v="2"/>
    <x v="1"/>
    <x v="9"/>
    <n v="1000"/>
    <n v="4000"/>
    <x v="9"/>
    <x v="3"/>
  </r>
  <r>
    <s v="ORD0288"/>
    <x v="287"/>
    <x v="6"/>
    <x v="0"/>
    <x v="5"/>
    <n v="2500"/>
    <n v="22500"/>
    <x v="1"/>
    <x v="10"/>
  </r>
  <r>
    <s v="ORD0289"/>
    <x v="288"/>
    <x v="1"/>
    <x v="0"/>
    <x v="12"/>
    <n v="3000"/>
    <n v="39000"/>
    <x v="5"/>
    <x v="6"/>
  </r>
  <r>
    <s v="ORD0290"/>
    <x v="289"/>
    <x v="2"/>
    <x v="1"/>
    <x v="1"/>
    <n v="1000"/>
    <n v="10000"/>
    <x v="0"/>
    <x v="10"/>
  </r>
  <r>
    <s v="ORD0291"/>
    <x v="290"/>
    <x v="4"/>
    <x v="2"/>
    <x v="14"/>
    <n v="5500"/>
    <n v="0"/>
    <x v="3"/>
    <x v="2"/>
  </r>
  <r>
    <s v="ORD0292"/>
    <x v="291"/>
    <x v="2"/>
    <x v="1"/>
    <x v="3"/>
    <s v="1000"/>
    <n v="2000"/>
    <x v="10"/>
    <x v="3"/>
  </r>
  <r>
    <s v="ORD0293"/>
    <x v="292"/>
    <x v="3"/>
    <x v="2"/>
    <x v="14"/>
    <n v="1500"/>
    <n v="0"/>
    <x v="4"/>
    <x v="4"/>
  </r>
  <r>
    <s v="ORD0294"/>
    <x v="293"/>
    <x v="7"/>
    <x v="4"/>
    <x v="1"/>
    <n v="1200"/>
    <n v="12000"/>
    <x v="7"/>
    <x v="6"/>
  </r>
  <r>
    <s v="ORD0295"/>
    <x v="294"/>
    <x v="2"/>
    <x v="1"/>
    <x v="15"/>
    <n v="1000"/>
    <n v="3000"/>
    <x v="6"/>
    <x v="6"/>
  </r>
  <r>
    <s v="ORD0296"/>
    <x v="295"/>
    <x v="0"/>
    <x v="0"/>
    <x v="1"/>
    <n v="1800"/>
    <n v="18000"/>
    <x v="0"/>
    <x v="5"/>
  </r>
  <r>
    <s v="ORD0297"/>
    <x v="296"/>
    <x v="5"/>
    <x v="3"/>
    <x v="7"/>
    <s v="2000"/>
    <n v="12000"/>
    <x v="11"/>
    <x v="2"/>
  </r>
  <r>
    <s v="ORD0298"/>
    <x v="297"/>
    <x v="1"/>
    <x v="0"/>
    <x v="8"/>
    <s v="3000"/>
    <n v="21000"/>
    <x v="11"/>
    <x v="9"/>
  </r>
  <r>
    <s v="ORD0299"/>
    <x v="298"/>
    <x v="0"/>
    <x v="0"/>
    <x v="0"/>
    <n v="1800"/>
    <n v="21600"/>
    <x v="1"/>
    <x v="0"/>
  </r>
  <r>
    <s v="ORD0300"/>
    <x v="299"/>
    <x v="1"/>
    <x v="0"/>
    <x v="1"/>
    <n v="3000"/>
    <n v="30000"/>
    <x v="4"/>
    <x v="5"/>
  </r>
  <r>
    <s v="ORD0301"/>
    <x v="300"/>
    <x v="5"/>
    <x v="3"/>
    <x v="6"/>
    <n v="2000"/>
    <n v="30000"/>
    <x v="6"/>
    <x v="0"/>
  </r>
  <r>
    <s v="ORD0302"/>
    <x v="301"/>
    <x v="7"/>
    <x v="4"/>
    <x v="7"/>
    <n v="1200"/>
    <n v="7200"/>
    <x v="6"/>
    <x v="10"/>
  </r>
  <r>
    <s v="ORD0303"/>
    <x v="302"/>
    <x v="1"/>
    <x v="0"/>
    <x v="4"/>
    <n v="3000"/>
    <n v="33000"/>
    <x v="11"/>
    <x v="9"/>
  </r>
  <r>
    <s v="ORD0304"/>
    <x v="303"/>
    <x v="4"/>
    <x v="2"/>
    <x v="9"/>
    <n v="5500"/>
    <n v="22000"/>
    <x v="6"/>
    <x v="10"/>
  </r>
  <r>
    <s v="ORD0305"/>
    <x v="304"/>
    <x v="4"/>
    <x v="2"/>
    <x v="15"/>
    <n v="5500"/>
    <n v="16500"/>
    <x v="2"/>
    <x v="6"/>
  </r>
  <r>
    <s v="ORD0306"/>
    <x v="305"/>
    <x v="2"/>
    <x v="1"/>
    <x v="10"/>
    <n v="1000"/>
    <n v="5000"/>
    <x v="8"/>
    <x v="7"/>
  </r>
  <r>
    <s v="ORD0307"/>
    <x v="306"/>
    <x v="5"/>
    <x v="3"/>
    <x v="10"/>
    <n v="2000"/>
    <n v="10000"/>
    <x v="5"/>
    <x v="8"/>
  </r>
  <r>
    <s v="ORD0308"/>
    <x v="307"/>
    <x v="4"/>
    <x v="2"/>
    <x v="5"/>
    <n v="5500"/>
    <n v="49500"/>
    <x v="9"/>
    <x v="2"/>
  </r>
  <r>
    <s v="ORD0309"/>
    <x v="308"/>
    <x v="0"/>
    <x v="0"/>
    <x v="11"/>
    <n v="1800"/>
    <n v="25200"/>
    <x v="7"/>
    <x v="1"/>
  </r>
  <r>
    <s v="ORD0310"/>
    <x v="309"/>
    <x v="0"/>
    <x v="0"/>
    <x v="2"/>
    <n v="1800"/>
    <n v="1800"/>
    <x v="6"/>
    <x v="8"/>
  </r>
  <r>
    <s v="ORD0311"/>
    <x v="310"/>
    <x v="2"/>
    <x v="1"/>
    <x v="13"/>
    <n v="1000"/>
    <n v="8000"/>
    <x v="8"/>
    <x v="8"/>
  </r>
  <r>
    <s v="ORD0312"/>
    <x v="311"/>
    <x v="3"/>
    <x v="2"/>
    <x v="14"/>
    <n v="1500"/>
    <n v="0"/>
    <x v="11"/>
    <x v="3"/>
  </r>
  <r>
    <s v="ORD0313"/>
    <x v="312"/>
    <x v="4"/>
    <x v="2"/>
    <x v="12"/>
    <n v="5500"/>
    <n v="71500"/>
    <x v="5"/>
    <x v="2"/>
  </r>
  <r>
    <s v="ORD0314"/>
    <x v="313"/>
    <x v="7"/>
    <x v="4"/>
    <x v="11"/>
    <n v="1200"/>
    <n v="16800"/>
    <x v="11"/>
    <x v="0"/>
  </r>
  <r>
    <s v="ORD0315"/>
    <x v="314"/>
    <x v="7"/>
    <x v="4"/>
    <x v="4"/>
    <n v="1200"/>
    <n v="13200"/>
    <x v="6"/>
    <x v="4"/>
  </r>
  <r>
    <s v="ORD0316"/>
    <x v="315"/>
    <x v="0"/>
    <x v="0"/>
    <x v="8"/>
    <n v="1800"/>
    <n v="12600"/>
    <x v="7"/>
    <x v="4"/>
  </r>
  <r>
    <s v="ORD0317"/>
    <x v="316"/>
    <x v="0"/>
    <x v="0"/>
    <x v="2"/>
    <n v="1800"/>
    <n v="1800"/>
    <x v="7"/>
    <x v="10"/>
  </r>
  <r>
    <s v="ORD0318"/>
    <x v="317"/>
    <x v="6"/>
    <x v="0"/>
    <x v="2"/>
    <n v="2500"/>
    <n v="2500"/>
    <x v="6"/>
    <x v="10"/>
  </r>
  <r>
    <s v="ORD0319"/>
    <x v="318"/>
    <x v="6"/>
    <x v="0"/>
    <x v="14"/>
    <n v="2500"/>
    <n v="0"/>
    <x v="10"/>
    <x v="2"/>
  </r>
  <r>
    <s v="ORD0320"/>
    <x v="319"/>
    <x v="1"/>
    <x v="0"/>
    <x v="9"/>
    <n v="3000"/>
    <n v="12000"/>
    <x v="3"/>
    <x v="8"/>
  </r>
  <r>
    <s v="ORD0321"/>
    <x v="320"/>
    <x v="7"/>
    <x v="4"/>
    <x v="6"/>
    <n v="1200"/>
    <n v="18000"/>
    <x v="11"/>
    <x v="6"/>
  </r>
  <r>
    <s v="ORD0322"/>
    <x v="321"/>
    <x v="5"/>
    <x v="3"/>
    <x v="5"/>
    <n v="2000"/>
    <n v="18000"/>
    <x v="11"/>
    <x v="7"/>
  </r>
  <r>
    <s v="ORD0323"/>
    <x v="322"/>
    <x v="2"/>
    <x v="1"/>
    <x v="7"/>
    <n v="1000"/>
    <n v="6000"/>
    <x v="0"/>
    <x v="10"/>
  </r>
  <r>
    <s v="ORD0324"/>
    <x v="323"/>
    <x v="7"/>
    <x v="4"/>
    <x v="10"/>
    <n v="1200"/>
    <n v="6000"/>
    <x v="10"/>
    <x v="5"/>
  </r>
  <r>
    <s v="ORD0325"/>
    <x v="324"/>
    <x v="2"/>
    <x v="1"/>
    <x v="13"/>
    <n v="1000"/>
    <n v="8000"/>
    <x v="2"/>
    <x v="0"/>
  </r>
  <r>
    <s v="ORD0326"/>
    <x v="325"/>
    <x v="3"/>
    <x v="2"/>
    <x v="5"/>
    <n v="1500"/>
    <n v="13500"/>
    <x v="6"/>
    <x v="5"/>
  </r>
  <r>
    <s v="ORD0327"/>
    <x v="326"/>
    <x v="1"/>
    <x v="0"/>
    <x v="10"/>
    <n v="3000"/>
    <n v="15000"/>
    <x v="2"/>
    <x v="9"/>
  </r>
  <r>
    <s v="ORD0328"/>
    <x v="327"/>
    <x v="6"/>
    <x v="0"/>
    <x v="3"/>
    <s v="2500"/>
    <n v="5000"/>
    <x v="2"/>
    <x v="3"/>
  </r>
  <r>
    <s v="ORD0329"/>
    <x v="328"/>
    <x v="1"/>
    <x v="0"/>
    <x v="6"/>
    <n v="3000"/>
    <n v="45000"/>
    <x v="0"/>
    <x v="3"/>
  </r>
  <r>
    <s v="ORD0330"/>
    <x v="329"/>
    <x v="1"/>
    <x v="0"/>
    <x v="7"/>
    <n v="3000"/>
    <n v="18000"/>
    <x v="3"/>
    <x v="9"/>
  </r>
  <r>
    <s v="ORD0331"/>
    <x v="330"/>
    <x v="2"/>
    <x v="1"/>
    <x v="2"/>
    <n v="1000"/>
    <n v="1000"/>
    <x v="1"/>
    <x v="2"/>
  </r>
  <r>
    <s v="ORD0332"/>
    <x v="331"/>
    <x v="5"/>
    <x v="3"/>
    <x v="13"/>
    <n v="2000"/>
    <n v="16000"/>
    <x v="2"/>
    <x v="2"/>
  </r>
  <r>
    <s v="ORD0333"/>
    <x v="332"/>
    <x v="6"/>
    <x v="0"/>
    <x v="7"/>
    <n v="2500"/>
    <n v="15000"/>
    <x v="1"/>
    <x v="10"/>
  </r>
  <r>
    <s v="ORD0334"/>
    <x v="333"/>
    <x v="4"/>
    <x v="2"/>
    <x v="12"/>
    <n v="5500"/>
    <n v="71500"/>
    <x v="1"/>
    <x v="4"/>
  </r>
  <r>
    <s v="ORD0335"/>
    <x v="334"/>
    <x v="3"/>
    <x v="2"/>
    <x v="9"/>
    <n v="1500"/>
    <n v="6000"/>
    <x v="7"/>
    <x v="8"/>
  </r>
  <r>
    <s v="ORD0336"/>
    <x v="335"/>
    <x v="5"/>
    <x v="3"/>
    <x v="3"/>
    <n v="2000"/>
    <n v="4000"/>
    <x v="2"/>
    <x v="7"/>
  </r>
  <r>
    <s v="ORD0337"/>
    <x v="336"/>
    <x v="0"/>
    <x v="0"/>
    <x v="7"/>
    <n v="1800"/>
    <n v="10800"/>
    <x v="7"/>
    <x v="3"/>
  </r>
  <r>
    <s v="ORD0338"/>
    <x v="337"/>
    <x v="4"/>
    <x v="2"/>
    <x v="0"/>
    <n v="5500"/>
    <n v="66000"/>
    <x v="9"/>
    <x v="8"/>
  </r>
  <r>
    <s v="ORD0339"/>
    <x v="338"/>
    <x v="5"/>
    <x v="3"/>
    <x v="8"/>
    <n v="2000"/>
    <n v="14000"/>
    <x v="6"/>
    <x v="8"/>
  </r>
  <r>
    <s v="ORD0340"/>
    <x v="339"/>
    <x v="0"/>
    <x v="0"/>
    <x v="6"/>
    <n v="1800"/>
    <n v="27000"/>
    <x v="1"/>
    <x v="8"/>
  </r>
  <r>
    <s v="ORD0341"/>
    <x v="340"/>
    <x v="7"/>
    <x v="4"/>
    <x v="3"/>
    <n v="1200"/>
    <n v="2400"/>
    <x v="1"/>
    <x v="0"/>
  </r>
  <r>
    <s v="ORD0342"/>
    <x v="341"/>
    <x v="1"/>
    <x v="0"/>
    <x v="8"/>
    <n v="3000"/>
    <n v="21000"/>
    <x v="7"/>
    <x v="5"/>
  </r>
  <r>
    <s v="ORD0343"/>
    <x v="342"/>
    <x v="5"/>
    <x v="3"/>
    <x v="7"/>
    <n v="2000"/>
    <n v="12000"/>
    <x v="6"/>
    <x v="7"/>
  </r>
  <r>
    <s v="ORD0344"/>
    <x v="343"/>
    <x v="4"/>
    <x v="2"/>
    <x v="3"/>
    <n v="5500"/>
    <n v="11000"/>
    <x v="3"/>
    <x v="10"/>
  </r>
  <r>
    <s v="ORD0345"/>
    <x v="344"/>
    <x v="2"/>
    <x v="1"/>
    <x v="4"/>
    <n v="1000"/>
    <n v="11000"/>
    <x v="4"/>
    <x v="10"/>
  </r>
  <r>
    <s v="ORD0346"/>
    <x v="345"/>
    <x v="6"/>
    <x v="0"/>
    <x v="2"/>
    <n v="2500"/>
    <n v="2500"/>
    <x v="4"/>
    <x v="4"/>
  </r>
  <r>
    <s v="ORD0347"/>
    <x v="346"/>
    <x v="7"/>
    <x v="4"/>
    <x v="2"/>
    <n v="1200"/>
    <n v="1200"/>
    <x v="5"/>
    <x v="5"/>
  </r>
  <r>
    <s v="ORD0348"/>
    <x v="347"/>
    <x v="6"/>
    <x v="0"/>
    <x v="8"/>
    <n v="2500"/>
    <n v="17500"/>
    <x v="0"/>
    <x v="4"/>
  </r>
  <r>
    <s v="ORD0349"/>
    <x v="348"/>
    <x v="0"/>
    <x v="0"/>
    <x v="5"/>
    <n v="1800"/>
    <n v="16200"/>
    <x v="4"/>
    <x v="5"/>
  </r>
  <r>
    <s v="ORD0350"/>
    <x v="349"/>
    <x v="1"/>
    <x v="0"/>
    <x v="9"/>
    <n v="3000"/>
    <n v="12000"/>
    <x v="11"/>
    <x v="6"/>
  </r>
  <r>
    <s v="ORD0351"/>
    <x v="350"/>
    <x v="0"/>
    <x v="0"/>
    <x v="15"/>
    <n v="1800"/>
    <n v="5400"/>
    <x v="11"/>
    <x v="5"/>
  </r>
  <r>
    <s v="ORD0352"/>
    <x v="351"/>
    <x v="6"/>
    <x v="0"/>
    <x v="1"/>
    <n v="2500"/>
    <n v="25000"/>
    <x v="7"/>
    <x v="3"/>
  </r>
  <r>
    <s v="ORD0353"/>
    <x v="352"/>
    <x v="6"/>
    <x v="0"/>
    <x v="13"/>
    <n v="2500"/>
    <n v="20000"/>
    <x v="0"/>
    <x v="10"/>
  </r>
  <r>
    <s v="ORD0354"/>
    <x v="353"/>
    <x v="3"/>
    <x v="2"/>
    <x v="4"/>
    <n v="1500"/>
    <n v="16500"/>
    <x v="2"/>
    <x v="8"/>
  </r>
  <r>
    <s v="ORD0355"/>
    <x v="354"/>
    <x v="3"/>
    <x v="2"/>
    <x v="6"/>
    <n v="1500"/>
    <n v="22500"/>
    <x v="11"/>
    <x v="7"/>
  </r>
  <r>
    <s v="ORD0356"/>
    <x v="355"/>
    <x v="7"/>
    <x v="4"/>
    <x v="13"/>
    <n v="1200"/>
    <n v="9600"/>
    <x v="8"/>
    <x v="1"/>
  </r>
  <r>
    <s v="ORD0357"/>
    <x v="356"/>
    <x v="5"/>
    <x v="3"/>
    <x v="2"/>
    <n v="2000"/>
    <n v="2000"/>
    <x v="3"/>
    <x v="8"/>
  </r>
  <r>
    <s v="ORD0358"/>
    <x v="357"/>
    <x v="4"/>
    <x v="2"/>
    <x v="14"/>
    <n v="5500"/>
    <n v="0"/>
    <x v="6"/>
    <x v="6"/>
  </r>
  <r>
    <s v="ORD0359"/>
    <x v="358"/>
    <x v="6"/>
    <x v="0"/>
    <x v="3"/>
    <n v="2500"/>
    <n v="5000"/>
    <x v="2"/>
    <x v="5"/>
  </r>
  <r>
    <s v="ORD0360"/>
    <x v="359"/>
    <x v="0"/>
    <x v="0"/>
    <x v="3"/>
    <n v="1800"/>
    <n v="3600"/>
    <x v="0"/>
    <x v="9"/>
  </r>
  <r>
    <s v="ORD0361"/>
    <x v="360"/>
    <x v="3"/>
    <x v="2"/>
    <x v="7"/>
    <n v="1500"/>
    <n v="9000"/>
    <x v="4"/>
    <x v="7"/>
  </r>
  <r>
    <s v="ORD0362"/>
    <x v="361"/>
    <x v="1"/>
    <x v="0"/>
    <x v="8"/>
    <n v="3000"/>
    <n v="21000"/>
    <x v="9"/>
    <x v="0"/>
  </r>
  <r>
    <s v="ORD0363"/>
    <x v="362"/>
    <x v="2"/>
    <x v="1"/>
    <x v="0"/>
    <s v="1000"/>
    <n v="12000"/>
    <x v="7"/>
    <x v="3"/>
  </r>
  <r>
    <s v="ORD0364"/>
    <x v="363"/>
    <x v="0"/>
    <x v="0"/>
    <x v="0"/>
    <n v="1800"/>
    <n v="21600"/>
    <x v="10"/>
    <x v="10"/>
  </r>
  <r>
    <s v="ORD0365"/>
    <x v="364"/>
    <x v="0"/>
    <x v="0"/>
    <x v="4"/>
    <n v="1800"/>
    <n v="19800"/>
    <x v="7"/>
    <x v="0"/>
  </r>
  <r>
    <s v="ORD0366"/>
    <x v="365"/>
    <x v="3"/>
    <x v="2"/>
    <x v="5"/>
    <n v="1500"/>
    <n v="13500"/>
    <x v="11"/>
    <x v="10"/>
  </r>
  <r>
    <s v="ORD0367"/>
    <x v="366"/>
    <x v="7"/>
    <x v="4"/>
    <x v="11"/>
    <n v="1200"/>
    <n v="16800"/>
    <x v="5"/>
    <x v="6"/>
  </r>
  <r>
    <s v="ORD0368"/>
    <x v="367"/>
    <x v="2"/>
    <x v="1"/>
    <x v="13"/>
    <n v="1000"/>
    <n v="8000"/>
    <x v="10"/>
    <x v="3"/>
  </r>
  <r>
    <s v="ORD0369"/>
    <x v="368"/>
    <x v="4"/>
    <x v="2"/>
    <x v="15"/>
    <n v="5500"/>
    <n v="16500"/>
    <x v="3"/>
    <x v="3"/>
  </r>
  <r>
    <s v="ORD0370"/>
    <x v="369"/>
    <x v="6"/>
    <x v="0"/>
    <x v="6"/>
    <n v="2500"/>
    <n v="37500"/>
    <x v="7"/>
    <x v="0"/>
  </r>
  <r>
    <s v="ORD0371"/>
    <x v="370"/>
    <x v="0"/>
    <x v="0"/>
    <x v="10"/>
    <n v="1800"/>
    <n v="9000"/>
    <x v="6"/>
    <x v="9"/>
  </r>
  <r>
    <s v="ORD0372"/>
    <x v="371"/>
    <x v="2"/>
    <x v="1"/>
    <x v="15"/>
    <n v="1000"/>
    <n v="3000"/>
    <x v="3"/>
    <x v="5"/>
  </r>
  <r>
    <s v="ORD0373"/>
    <x v="372"/>
    <x v="3"/>
    <x v="2"/>
    <x v="4"/>
    <n v="1500"/>
    <n v="16500"/>
    <x v="1"/>
    <x v="6"/>
  </r>
  <r>
    <s v="ORD0374"/>
    <x v="373"/>
    <x v="1"/>
    <x v="0"/>
    <x v="8"/>
    <n v="3000"/>
    <n v="21000"/>
    <x v="7"/>
    <x v="10"/>
  </r>
  <r>
    <s v="ORD0375"/>
    <x v="374"/>
    <x v="2"/>
    <x v="1"/>
    <x v="7"/>
    <n v="1000"/>
    <n v="6000"/>
    <x v="6"/>
    <x v="6"/>
  </r>
  <r>
    <s v="ORD0376"/>
    <x v="375"/>
    <x v="1"/>
    <x v="0"/>
    <x v="11"/>
    <n v="3000"/>
    <n v="42000"/>
    <x v="7"/>
    <x v="2"/>
  </r>
  <r>
    <s v="ORD0377"/>
    <x v="376"/>
    <x v="4"/>
    <x v="2"/>
    <x v="5"/>
    <n v="5500"/>
    <n v="49500"/>
    <x v="4"/>
    <x v="0"/>
  </r>
  <r>
    <s v="ORD0378"/>
    <x v="377"/>
    <x v="6"/>
    <x v="0"/>
    <x v="3"/>
    <n v="2500"/>
    <n v="5000"/>
    <x v="1"/>
    <x v="6"/>
  </r>
  <r>
    <s v="ORD0379"/>
    <x v="378"/>
    <x v="5"/>
    <x v="3"/>
    <x v="15"/>
    <s v="2000"/>
    <n v="6000"/>
    <x v="9"/>
    <x v="9"/>
  </r>
  <r>
    <s v="ORD0380"/>
    <x v="379"/>
    <x v="6"/>
    <x v="0"/>
    <x v="2"/>
    <n v="2500"/>
    <n v="2500"/>
    <x v="0"/>
    <x v="7"/>
  </r>
  <r>
    <s v="ORD0381"/>
    <x v="380"/>
    <x v="2"/>
    <x v="1"/>
    <x v="4"/>
    <s v="1000"/>
    <n v="11000"/>
    <x v="10"/>
    <x v="5"/>
  </r>
  <r>
    <s v="ORD0382"/>
    <x v="381"/>
    <x v="2"/>
    <x v="1"/>
    <x v="12"/>
    <n v="1000"/>
    <n v="13000"/>
    <x v="3"/>
    <x v="0"/>
  </r>
  <r>
    <s v="ORD0383"/>
    <x v="382"/>
    <x v="7"/>
    <x v="4"/>
    <x v="10"/>
    <n v="1200"/>
    <n v="6000"/>
    <x v="4"/>
    <x v="5"/>
  </r>
  <r>
    <s v="ORD0384"/>
    <x v="383"/>
    <x v="2"/>
    <x v="1"/>
    <x v="11"/>
    <n v="1000"/>
    <n v="14000"/>
    <x v="6"/>
    <x v="2"/>
  </r>
  <r>
    <s v="ORD0385"/>
    <x v="384"/>
    <x v="0"/>
    <x v="0"/>
    <x v="0"/>
    <n v="1800"/>
    <n v="21600"/>
    <x v="10"/>
    <x v="10"/>
  </r>
  <r>
    <s v="ORD0386"/>
    <x v="385"/>
    <x v="5"/>
    <x v="3"/>
    <x v="7"/>
    <n v="2000"/>
    <n v="12000"/>
    <x v="4"/>
    <x v="10"/>
  </r>
  <r>
    <s v="ORD0387"/>
    <x v="386"/>
    <x v="0"/>
    <x v="0"/>
    <x v="5"/>
    <n v="1800"/>
    <n v="16200"/>
    <x v="10"/>
    <x v="0"/>
  </r>
  <r>
    <s v="ORD0388"/>
    <x v="387"/>
    <x v="3"/>
    <x v="2"/>
    <x v="0"/>
    <n v="1500"/>
    <n v="18000"/>
    <x v="5"/>
    <x v="4"/>
  </r>
  <r>
    <s v="ORD0389"/>
    <x v="388"/>
    <x v="6"/>
    <x v="0"/>
    <x v="4"/>
    <n v="2500"/>
    <n v="27500"/>
    <x v="5"/>
    <x v="6"/>
  </r>
  <r>
    <s v="ORD0390"/>
    <x v="389"/>
    <x v="0"/>
    <x v="0"/>
    <x v="5"/>
    <n v="1800"/>
    <n v="16200"/>
    <x v="0"/>
    <x v="10"/>
  </r>
  <r>
    <s v="ORD0391"/>
    <x v="390"/>
    <x v="2"/>
    <x v="1"/>
    <x v="5"/>
    <n v="1000"/>
    <n v="9000"/>
    <x v="4"/>
    <x v="1"/>
  </r>
  <r>
    <s v="ORD0392"/>
    <x v="391"/>
    <x v="7"/>
    <x v="4"/>
    <x v="2"/>
    <n v="1200"/>
    <n v="1200"/>
    <x v="9"/>
    <x v="8"/>
  </r>
  <r>
    <s v="ORD0393"/>
    <x v="392"/>
    <x v="1"/>
    <x v="0"/>
    <x v="1"/>
    <n v="3000"/>
    <n v="30000"/>
    <x v="3"/>
    <x v="5"/>
  </r>
  <r>
    <s v="ORD0394"/>
    <x v="393"/>
    <x v="4"/>
    <x v="2"/>
    <x v="9"/>
    <n v="5500"/>
    <n v="22000"/>
    <x v="7"/>
    <x v="2"/>
  </r>
  <r>
    <s v="ORD0395"/>
    <x v="394"/>
    <x v="4"/>
    <x v="2"/>
    <x v="14"/>
    <n v="5500"/>
    <n v="0"/>
    <x v="8"/>
    <x v="4"/>
  </r>
  <r>
    <s v="ORD0396"/>
    <x v="395"/>
    <x v="6"/>
    <x v="0"/>
    <x v="10"/>
    <n v="2500"/>
    <n v="12500"/>
    <x v="3"/>
    <x v="8"/>
  </r>
  <r>
    <s v="ORD0397"/>
    <x v="396"/>
    <x v="6"/>
    <x v="0"/>
    <x v="4"/>
    <n v="2500"/>
    <n v="27500"/>
    <x v="5"/>
    <x v="2"/>
  </r>
  <r>
    <s v="ORD0398"/>
    <x v="397"/>
    <x v="2"/>
    <x v="1"/>
    <x v="3"/>
    <n v="1000"/>
    <n v="2000"/>
    <x v="3"/>
    <x v="6"/>
  </r>
  <r>
    <s v="ORD0399"/>
    <x v="398"/>
    <x v="5"/>
    <x v="3"/>
    <x v="5"/>
    <n v="2000"/>
    <n v="18000"/>
    <x v="5"/>
    <x v="3"/>
  </r>
  <r>
    <s v="ORD0400"/>
    <x v="399"/>
    <x v="4"/>
    <x v="2"/>
    <x v="3"/>
    <n v="5500"/>
    <n v="11000"/>
    <x v="3"/>
    <x v="4"/>
  </r>
  <r>
    <s v="ORD0401"/>
    <x v="400"/>
    <x v="0"/>
    <x v="0"/>
    <x v="1"/>
    <n v="1800"/>
    <n v="18000"/>
    <x v="9"/>
    <x v="7"/>
  </r>
  <r>
    <s v="ORD0402"/>
    <x v="401"/>
    <x v="3"/>
    <x v="2"/>
    <x v="1"/>
    <n v="1500"/>
    <n v="15000"/>
    <x v="1"/>
    <x v="2"/>
  </r>
  <r>
    <s v="ORD0403"/>
    <x v="402"/>
    <x v="3"/>
    <x v="2"/>
    <x v="12"/>
    <s v="1500"/>
    <n v="19500"/>
    <x v="6"/>
    <x v="7"/>
  </r>
  <r>
    <s v="ORD0404"/>
    <x v="403"/>
    <x v="3"/>
    <x v="2"/>
    <x v="14"/>
    <n v="1500"/>
    <n v="0"/>
    <x v="1"/>
    <x v="10"/>
  </r>
  <r>
    <s v="ORD0405"/>
    <x v="404"/>
    <x v="3"/>
    <x v="2"/>
    <x v="1"/>
    <n v="1500"/>
    <n v="15000"/>
    <x v="2"/>
    <x v="7"/>
  </r>
  <r>
    <s v="ORD0406"/>
    <x v="405"/>
    <x v="2"/>
    <x v="1"/>
    <x v="15"/>
    <n v="1000"/>
    <n v="3000"/>
    <x v="5"/>
    <x v="9"/>
  </r>
  <r>
    <s v="ORD0407"/>
    <x v="406"/>
    <x v="5"/>
    <x v="3"/>
    <x v="0"/>
    <n v="2000"/>
    <n v="24000"/>
    <x v="2"/>
    <x v="5"/>
  </r>
  <r>
    <s v="ORD0408"/>
    <x v="407"/>
    <x v="4"/>
    <x v="2"/>
    <x v="9"/>
    <n v="5500"/>
    <n v="22000"/>
    <x v="6"/>
    <x v="10"/>
  </r>
  <r>
    <s v="ORD0409"/>
    <x v="408"/>
    <x v="5"/>
    <x v="3"/>
    <x v="3"/>
    <n v="2000"/>
    <n v="4000"/>
    <x v="1"/>
    <x v="5"/>
  </r>
  <r>
    <s v="ORD0410"/>
    <x v="409"/>
    <x v="1"/>
    <x v="0"/>
    <x v="5"/>
    <n v="3000"/>
    <n v="27000"/>
    <x v="8"/>
    <x v="5"/>
  </r>
  <r>
    <s v="ORD0411"/>
    <x v="410"/>
    <x v="7"/>
    <x v="4"/>
    <x v="1"/>
    <n v="1200"/>
    <n v="12000"/>
    <x v="2"/>
    <x v="1"/>
  </r>
  <r>
    <s v="ORD0412"/>
    <x v="411"/>
    <x v="6"/>
    <x v="0"/>
    <x v="14"/>
    <n v="2500"/>
    <n v="0"/>
    <x v="1"/>
    <x v="4"/>
  </r>
  <r>
    <s v="ORD0413"/>
    <x v="412"/>
    <x v="5"/>
    <x v="3"/>
    <x v="12"/>
    <n v="2000"/>
    <n v="26000"/>
    <x v="1"/>
    <x v="6"/>
  </r>
  <r>
    <s v="ORD0414"/>
    <x v="413"/>
    <x v="4"/>
    <x v="2"/>
    <x v="13"/>
    <n v="5500"/>
    <n v="44000"/>
    <x v="7"/>
    <x v="9"/>
  </r>
  <r>
    <s v="ORD0415"/>
    <x v="414"/>
    <x v="3"/>
    <x v="2"/>
    <x v="8"/>
    <n v="1500"/>
    <n v="10500"/>
    <x v="3"/>
    <x v="8"/>
  </r>
  <r>
    <s v="ORD0416"/>
    <x v="415"/>
    <x v="4"/>
    <x v="2"/>
    <x v="9"/>
    <n v="5500"/>
    <n v="22000"/>
    <x v="9"/>
    <x v="3"/>
  </r>
  <r>
    <s v="ORD0417"/>
    <x v="416"/>
    <x v="2"/>
    <x v="1"/>
    <x v="5"/>
    <n v="1000"/>
    <n v="9000"/>
    <x v="10"/>
    <x v="9"/>
  </r>
  <r>
    <s v="ORD0418"/>
    <x v="417"/>
    <x v="7"/>
    <x v="4"/>
    <x v="8"/>
    <n v="1200"/>
    <n v="8400"/>
    <x v="7"/>
    <x v="5"/>
  </r>
  <r>
    <s v="ORD0419"/>
    <x v="418"/>
    <x v="3"/>
    <x v="2"/>
    <x v="0"/>
    <s v="1500"/>
    <n v="18000"/>
    <x v="2"/>
    <x v="0"/>
  </r>
  <r>
    <s v="ORD0420"/>
    <x v="419"/>
    <x v="2"/>
    <x v="1"/>
    <x v="12"/>
    <n v="1000"/>
    <n v="13000"/>
    <x v="4"/>
    <x v="0"/>
  </r>
  <r>
    <s v="ORD0421"/>
    <x v="420"/>
    <x v="2"/>
    <x v="1"/>
    <x v="1"/>
    <n v="1000"/>
    <n v="10000"/>
    <x v="8"/>
    <x v="0"/>
  </r>
  <r>
    <s v="ORD0422"/>
    <x v="421"/>
    <x v="3"/>
    <x v="2"/>
    <x v="15"/>
    <n v="1500"/>
    <n v="4500"/>
    <x v="2"/>
    <x v="3"/>
  </r>
  <r>
    <s v="ORD0423"/>
    <x v="422"/>
    <x v="5"/>
    <x v="3"/>
    <x v="12"/>
    <n v="2000"/>
    <n v="26000"/>
    <x v="8"/>
    <x v="6"/>
  </r>
  <r>
    <s v="ORD0424"/>
    <x v="423"/>
    <x v="3"/>
    <x v="2"/>
    <x v="10"/>
    <n v="1500"/>
    <n v="7500"/>
    <x v="8"/>
    <x v="8"/>
  </r>
  <r>
    <s v="ORD0425"/>
    <x v="424"/>
    <x v="4"/>
    <x v="2"/>
    <x v="7"/>
    <n v="5500"/>
    <n v="33000"/>
    <x v="9"/>
    <x v="10"/>
  </r>
  <r>
    <s v="ORD0426"/>
    <x v="425"/>
    <x v="2"/>
    <x v="1"/>
    <x v="1"/>
    <n v="1000"/>
    <n v="10000"/>
    <x v="6"/>
    <x v="1"/>
  </r>
  <r>
    <s v="ORD0427"/>
    <x v="426"/>
    <x v="2"/>
    <x v="1"/>
    <x v="12"/>
    <n v="1000"/>
    <n v="13000"/>
    <x v="5"/>
    <x v="7"/>
  </r>
  <r>
    <s v="ORD0428"/>
    <x v="427"/>
    <x v="1"/>
    <x v="0"/>
    <x v="8"/>
    <n v="3000"/>
    <n v="21000"/>
    <x v="7"/>
    <x v="6"/>
  </r>
  <r>
    <s v="ORD0429"/>
    <x v="428"/>
    <x v="4"/>
    <x v="2"/>
    <x v="13"/>
    <n v="5500"/>
    <n v="44000"/>
    <x v="4"/>
    <x v="6"/>
  </r>
  <r>
    <s v="ORD0430"/>
    <x v="429"/>
    <x v="6"/>
    <x v="0"/>
    <x v="14"/>
    <n v="2500"/>
    <n v="0"/>
    <x v="11"/>
    <x v="0"/>
  </r>
  <r>
    <s v="ORD0431"/>
    <x v="430"/>
    <x v="3"/>
    <x v="2"/>
    <x v="11"/>
    <n v="1500"/>
    <n v="21000"/>
    <x v="2"/>
    <x v="3"/>
  </r>
  <r>
    <s v="ORD0432"/>
    <x v="431"/>
    <x v="2"/>
    <x v="1"/>
    <x v="9"/>
    <n v="1000"/>
    <n v="4000"/>
    <x v="10"/>
    <x v="5"/>
  </r>
  <r>
    <s v="ORD0433"/>
    <x v="432"/>
    <x v="7"/>
    <x v="4"/>
    <x v="11"/>
    <n v="1200"/>
    <n v="16800"/>
    <x v="10"/>
    <x v="2"/>
  </r>
  <r>
    <s v="ORD0434"/>
    <x v="433"/>
    <x v="1"/>
    <x v="0"/>
    <x v="8"/>
    <n v="3000"/>
    <n v="21000"/>
    <x v="7"/>
    <x v="3"/>
  </r>
  <r>
    <s v="ORD0435"/>
    <x v="434"/>
    <x v="4"/>
    <x v="2"/>
    <x v="10"/>
    <s v="5500"/>
    <n v="27500"/>
    <x v="5"/>
    <x v="2"/>
  </r>
  <r>
    <s v="ORD0436"/>
    <x v="435"/>
    <x v="4"/>
    <x v="2"/>
    <x v="10"/>
    <n v="5500"/>
    <n v="27500"/>
    <x v="3"/>
    <x v="0"/>
  </r>
  <r>
    <s v="ORD0437"/>
    <x v="436"/>
    <x v="3"/>
    <x v="2"/>
    <x v="13"/>
    <n v="1500"/>
    <n v="12000"/>
    <x v="7"/>
    <x v="2"/>
  </r>
  <r>
    <s v="ORD0438"/>
    <x v="437"/>
    <x v="7"/>
    <x v="4"/>
    <x v="9"/>
    <n v="1200"/>
    <n v="4800"/>
    <x v="3"/>
    <x v="1"/>
  </r>
  <r>
    <s v="ORD0439"/>
    <x v="438"/>
    <x v="1"/>
    <x v="0"/>
    <x v="5"/>
    <n v="3000"/>
    <n v="27000"/>
    <x v="2"/>
    <x v="8"/>
  </r>
  <r>
    <s v="ORD0440"/>
    <x v="439"/>
    <x v="5"/>
    <x v="3"/>
    <x v="15"/>
    <n v="2000"/>
    <n v="6000"/>
    <x v="4"/>
    <x v="9"/>
  </r>
  <r>
    <s v="ORD0441"/>
    <x v="440"/>
    <x v="4"/>
    <x v="2"/>
    <x v="8"/>
    <n v="5500"/>
    <n v="38500"/>
    <x v="6"/>
    <x v="4"/>
  </r>
  <r>
    <s v="ORD0442"/>
    <x v="441"/>
    <x v="0"/>
    <x v="0"/>
    <x v="4"/>
    <n v="1800"/>
    <n v="19800"/>
    <x v="4"/>
    <x v="9"/>
  </r>
  <r>
    <s v="ORD0443"/>
    <x v="442"/>
    <x v="7"/>
    <x v="4"/>
    <x v="0"/>
    <n v="1200"/>
    <n v="14400"/>
    <x v="9"/>
    <x v="6"/>
  </r>
  <r>
    <s v="ORD0444"/>
    <x v="443"/>
    <x v="6"/>
    <x v="0"/>
    <x v="13"/>
    <n v="2500"/>
    <n v="20000"/>
    <x v="6"/>
    <x v="6"/>
  </r>
  <r>
    <s v="ORD0445"/>
    <x v="444"/>
    <x v="0"/>
    <x v="0"/>
    <x v="8"/>
    <n v="1800"/>
    <n v="12600"/>
    <x v="7"/>
    <x v="0"/>
  </r>
  <r>
    <s v="ORD0446"/>
    <x v="445"/>
    <x v="4"/>
    <x v="2"/>
    <x v="11"/>
    <n v="5500"/>
    <n v="77000"/>
    <x v="9"/>
    <x v="2"/>
  </r>
  <r>
    <s v="ORD0447"/>
    <x v="446"/>
    <x v="1"/>
    <x v="0"/>
    <x v="6"/>
    <n v="3000"/>
    <n v="45000"/>
    <x v="5"/>
    <x v="7"/>
  </r>
  <r>
    <s v="ORD0448"/>
    <x v="447"/>
    <x v="7"/>
    <x v="4"/>
    <x v="9"/>
    <n v="1200"/>
    <n v="4800"/>
    <x v="8"/>
    <x v="4"/>
  </r>
  <r>
    <s v="ORD0449"/>
    <x v="448"/>
    <x v="5"/>
    <x v="3"/>
    <x v="9"/>
    <n v="2000"/>
    <n v="8000"/>
    <x v="6"/>
    <x v="0"/>
  </r>
  <r>
    <s v="ORD0450"/>
    <x v="449"/>
    <x v="6"/>
    <x v="0"/>
    <x v="13"/>
    <n v="2500"/>
    <n v="20000"/>
    <x v="7"/>
    <x v="4"/>
  </r>
  <r>
    <s v="ORD0451"/>
    <x v="450"/>
    <x v="1"/>
    <x v="0"/>
    <x v="7"/>
    <s v="3000"/>
    <n v="18000"/>
    <x v="2"/>
    <x v="5"/>
  </r>
  <r>
    <s v="ORD0452"/>
    <x v="451"/>
    <x v="5"/>
    <x v="3"/>
    <x v="5"/>
    <n v="2000"/>
    <n v="18000"/>
    <x v="8"/>
    <x v="6"/>
  </r>
  <r>
    <s v="ORD0453"/>
    <x v="452"/>
    <x v="2"/>
    <x v="1"/>
    <x v="11"/>
    <n v="1000"/>
    <n v="14000"/>
    <x v="6"/>
    <x v="6"/>
  </r>
  <r>
    <s v="ORD0454"/>
    <x v="453"/>
    <x v="5"/>
    <x v="3"/>
    <x v="7"/>
    <n v="2000"/>
    <n v="12000"/>
    <x v="0"/>
    <x v="10"/>
  </r>
  <r>
    <s v="ORD0455"/>
    <x v="454"/>
    <x v="0"/>
    <x v="0"/>
    <x v="3"/>
    <n v="1800"/>
    <n v="3600"/>
    <x v="4"/>
    <x v="3"/>
  </r>
  <r>
    <s v="ORD0456"/>
    <x v="455"/>
    <x v="2"/>
    <x v="1"/>
    <x v="14"/>
    <n v="1000"/>
    <n v="0"/>
    <x v="3"/>
    <x v="8"/>
  </r>
  <r>
    <s v="ORD0457"/>
    <x v="456"/>
    <x v="6"/>
    <x v="0"/>
    <x v="14"/>
    <n v="2500"/>
    <n v="0"/>
    <x v="2"/>
    <x v="6"/>
  </r>
  <r>
    <s v="ORD0458"/>
    <x v="457"/>
    <x v="7"/>
    <x v="4"/>
    <x v="0"/>
    <n v="1200"/>
    <n v="14400"/>
    <x v="0"/>
    <x v="5"/>
  </r>
  <r>
    <s v="ORD0459"/>
    <x v="458"/>
    <x v="5"/>
    <x v="3"/>
    <x v="1"/>
    <n v="2000"/>
    <n v="20000"/>
    <x v="5"/>
    <x v="10"/>
  </r>
  <r>
    <s v="ORD0460"/>
    <x v="459"/>
    <x v="4"/>
    <x v="2"/>
    <x v="5"/>
    <n v="5500"/>
    <n v="49500"/>
    <x v="4"/>
    <x v="4"/>
  </r>
  <r>
    <s v="ORD0461"/>
    <x v="460"/>
    <x v="4"/>
    <x v="2"/>
    <x v="10"/>
    <n v="5500"/>
    <n v="27500"/>
    <x v="11"/>
    <x v="8"/>
  </r>
  <r>
    <s v="ORD0462"/>
    <x v="461"/>
    <x v="5"/>
    <x v="3"/>
    <x v="7"/>
    <n v="2000"/>
    <n v="12000"/>
    <x v="2"/>
    <x v="2"/>
  </r>
  <r>
    <s v="ORD0463"/>
    <x v="462"/>
    <x v="4"/>
    <x v="2"/>
    <x v="15"/>
    <n v="5500"/>
    <n v="16500"/>
    <x v="8"/>
    <x v="4"/>
  </r>
  <r>
    <s v="ORD0464"/>
    <x v="463"/>
    <x v="2"/>
    <x v="1"/>
    <x v="4"/>
    <n v="1000"/>
    <n v="11000"/>
    <x v="4"/>
    <x v="9"/>
  </r>
  <r>
    <s v="ORD0465"/>
    <x v="464"/>
    <x v="2"/>
    <x v="1"/>
    <x v="0"/>
    <n v="1000"/>
    <n v="12000"/>
    <x v="8"/>
    <x v="5"/>
  </r>
  <r>
    <s v="ORD0466"/>
    <x v="465"/>
    <x v="7"/>
    <x v="4"/>
    <x v="5"/>
    <n v="1200"/>
    <n v="10800"/>
    <x v="2"/>
    <x v="6"/>
  </r>
  <r>
    <s v="ORD0467"/>
    <x v="466"/>
    <x v="5"/>
    <x v="3"/>
    <x v="9"/>
    <n v="2000"/>
    <n v="8000"/>
    <x v="4"/>
    <x v="0"/>
  </r>
  <r>
    <s v="ORD0468"/>
    <x v="467"/>
    <x v="4"/>
    <x v="2"/>
    <x v="12"/>
    <n v="5500"/>
    <n v="71500"/>
    <x v="1"/>
    <x v="9"/>
  </r>
  <r>
    <s v="ORD0469"/>
    <x v="468"/>
    <x v="6"/>
    <x v="0"/>
    <x v="14"/>
    <n v="2500"/>
    <n v="0"/>
    <x v="7"/>
    <x v="6"/>
  </r>
  <r>
    <s v="ORD0470"/>
    <x v="469"/>
    <x v="4"/>
    <x v="2"/>
    <x v="8"/>
    <n v="5500"/>
    <n v="38500"/>
    <x v="8"/>
    <x v="5"/>
  </r>
  <r>
    <s v="ORD0471"/>
    <x v="470"/>
    <x v="2"/>
    <x v="1"/>
    <x v="10"/>
    <s v="1000"/>
    <n v="5000"/>
    <x v="2"/>
    <x v="10"/>
  </r>
  <r>
    <s v="ORD0472"/>
    <x v="471"/>
    <x v="0"/>
    <x v="0"/>
    <x v="11"/>
    <n v="1800"/>
    <n v="25200"/>
    <x v="6"/>
    <x v="6"/>
  </r>
  <r>
    <s v="ORD0473"/>
    <x v="472"/>
    <x v="5"/>
    <x v="3"/>
    <x v="9"/>
    <n v="2000"/>
    <n v="8000"/>
    <x v="3"/>
    <x v="10"/>
  </r>
  <r>
    <s v="ORD0474"/>
    <x v="473"/>
    <x v="1"/>
    <x v="0"/>
    <x v="7"/>
    <n v="3000"/>
    <n v="18000"/>
    <x v="9"/>
    <x v="9"/>
  </r>
  <r>
    <s v="ORD0475"/>
    <x v="474"/>
    <x v="3"/>
    <x v="2"/>
    <x v="1"/>
    <n v="1500"/>
    <n v="15000"/>
    <x v="5"/>
    <x v="9"/>
  </r>
  <r>
    <s v="ORD0476"/>
    <x v="475"/>
    <x v="2"/>
    <x v="1"/>
    <x v="14"/>
    <s v="1000"/>
    <n v="0"/>
    <x v="5"/>
    <x v="7"/>
  </r>
  <r>
    <s v="ORD0477"/>
    <x v="476"/>
    <x v="7"/>
    <x v="4"/>
    <x v="4"/>
    <s v="1200"/>
    <n v="13200"/>
    <x v="9"/>
    <x v="9"/>
  </r>
  <r>
    <s v="ORD0478"/>
    <x v="477"/>
    <x v="4"/>
    <x v="2"/>
    <x v="14"/>
    <n v="5500"/>
    <n v="0"/>
    <x v="5"/>
    <x v="0"/>
  </r>
  <r>
    <s v="ORD0479"/>
    <x v="478"/>
    <x v="0"/>
    <x v="0"/>
    <x v="0"/>
    <n v="1800"/>
    <n v="21600"/>
    <x v="4"/>
    <x v="1"/>
  </r>
  <r>
    <s v="ORD0480"/>
    <x v="479"/>
    <x v="6"/>
    <x v="0"/>
    <x v="7"/>
    <n v="2500"/>
    <n v="15000"/>
    <x v="1"/>
    <x v="4"/>
  </r>
  <r>
    <s v="ORD0481"/>
    <x v="480"/>
    <x v="7"/>
    <x v="4"/>
    <x v="5"/>
    <s v="1200"/>
    <n v="10800"/>
    <x v="4"/>
    <x v="4"/>
  </r>
  <r>
    <s v="ORD0482"/>
    <x v="481"/>
    <x v="5"/>
    <x v="3"/>
    <x v="8"/>
    <n v="2000"/>
    <n v="14000"/>
    <x v="6"/>
    <x v="10"/>
  </r>
  <r>
    <s v="ORD0483"/>
    <x v="482"/>
    <x v="1"/>
    <x v="0"/>
    <x v="2"/>
    <n v="3000"/>
    <n v="3000"/>
    <x v="2"/>
    <x v="6"/>
  </r>
  <r>
    <s v="ORD0484"/>
    <x v="483"/>
    <x v="2"/>
    <x v="1"/>
    <x v="15"/>
    <n v="1000"/>
    <n v="3000"/>
    <x v="6"/>
    <x v="10"/>
  </r>
  <r>
    <s v="ORD0485"/>
    <x v="484"/>
    <x v="7"/>
    <x v="4"/>
    <x v="7"/>
    <n v="1200"/>
    <n v="7200"/>
    <x v="5"/>
    <x v="1"/>
  </r>
  <r>
    <s v="ORD0486"/>
    <x v="485"/>
    <x v="3"/>
    <x v="2"/>
    <x v="3"/>
    <n v="1500"/>
    <n v="3000"/>
    <x v="3"/>
    <x v="0"/>
  </r>
  <r>
    <s v="ORD0487"/>
    <x v="486"/>
    <x v="2"/>
    <x v="1"/>
    <x v="4"/>
    <n v="1000"/>
    <n v="11000"/>
    <x v="3"/>
    <x v="4"/>
  </r>
  <r>
    <s v="ORD0488"/>
    <x v="487"/>
    <x v="6"/>
    <x v="0"/>
    <x v="2"/>
    <n v="2500"/>
    <n v="2500"/>
    <x v="7"/>
    <x v="6"/>
  </r>
  <r>
    <s v="ORD0489"/>
    <x v="488"/>
    <x v="1"/>
    <x v="0"/>
    <x v="10"/>
    <n v="3000"/>
    <n v="15000"/>
    <x v="4"/>
    <x v="9"/>
  </r>
  <r>
    <s v="ORD0490"/>
    <x v="489"/>
    <x v="7"/>
    <x v="4"/>
    <x v="7"/>
    <n v="1200"/>
    <n v="7200"/>
    <x v="7"/>
    <x v="3"/>
  </r>
  <r>
    <s v="ORD0491"/>
    <x v="490"/>
    <x v="5"/>
    <x v="3"/>
    <x v="0"/>
    <n v="2000"/>
    <n v="24000"/>
    <x v="0"/>
    <x v="8"/>
  </r>
  <r>
    <s v="ORD0492"/>
    <x v="491"/>
    <x v="4"/>
    <x v="2"/>
    <x v="11"/>
    <n v="5500"/>
    <n v="77000"/>
    <x v="10"/>
    <x v="10"/>
  </r>
  <r>
    <s v="ORD0493"/>
    <x v="492"/>
    <x v="7"/>
    <x v="4"/>
    <x v="4"/>
    <n v="1200"/>
    <n v="13200"/>
    <x v="0"/>
    <x v="7"/>
  </r>
  <r>
    <s v="ORD0494"/>
    <x v="493"/>
    <x v="5"/>
    <x v="3"/>
    <x v="6"/>
    <n v="2000"/>
    <n v="30000"/>
    <x v="10"/>
    <x v="0"/>
  </r>
  <r>
    <s v="ORD0495"/>
    <x v="494"/>
    <x v="2"/>
    <x v="1"/>
    <x v="11"/>
    <n v="1000"/>
    <n v="14000"/>
    <x v="4"/>
    <x v="10"/>
  </r>
  <r>
    <s v="ORD0496"/>
    <x v="495"/>
    <x v="1"/>
    <x v="0"/>
    <x v="12"/>
    <s v="3000"/>
    <n v="39000"/>
    <x v="5"/>
    <x v="9"/>
  </r>
  <r>
    <s v="ORD0497"/>
    <x v="496"/>
    <x v="0"/>
    <x v="0"/>
    <x v="1"/>
    <n v="1800"/>
    <n v="18000"/>
    <x v="0"/>
    <x v="2"/>
  </r>
  <r>
    <s v="ORD0498"/>
    <x v="497"/>
    <x v="1"/>
    <x v="0"/>
    <x v="7"/>
    <n v="3000"/>
    <n v="18000"/>
    <x v="0"/>
    <x v="9"/>
  </r>
  <r>
    <s v="ORD0499"/>
    <x v="498"/>
    <x v="0"/>
    <x v="0"/>
    <x v="4"/>
    <n v="1800"/>
    <n v="19800"/>
    <x v="9"/>
    <x v="7"/>
  </r>
  <r>
    <s v="ORD0500"/>
    <x v="499"/>
    <x v="6"/>
    <x v="0"/>
    <x v="12"/>
    <n v="2500"/>
    <n v="32500"/>
    <x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8BB599-D1F4-4559-BBF8-7348EC5ADB47}" name="PivotTable10"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ly Sales Trend">
  <location ref="A20:B32" firstHeaderRow="1" firstDataRow="1" firstDataCol="1"/>
  <pivotFields count="9">
    <pivotField showAll="0"/>
    <pivotField axis="axisRow" numFmtId="169"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items count="13">
        <item h="1" x="2"/>
        <item h="1" x="1"/>
        <item h="1" x="0"/>
        <item h="1" x="7"/>
        <item h="1" x="3"/>
        <item h="1" x="4"/>
        <item h="1" x="11"/>
        <item h="1" x="5"/>
        <item x="9"/>
        <item h="1" x="10"/>
        <item h="1" x="8"/>
        <item h="1" x="6"/>
        <item t="default"/>
      </items>
    </pivotField>
    <pivotField showAll="0"/>
  </pivotFields>
  <rowFields count="1">
    <field x="1"/>
  </rowFields>
  <rowItems count="12">
    <i>
      <x v="1"/>
    </i>
    <i>
      <x v="2"/>
    </i>
    <i>
      <x v="3"/>
    </i>
    <i>
      <x v="4"/>
    </i>
    <i>
      <x v="5"/>
    </i>
    <i>
      <x v="6"/>
    </i>
    <i>
      <x v="7"/>
    </i>
    <i>
      <x v="8"/>
    </i>
    <i>
      <x v="10"/>
    </i>
    <i>
      <x v="11"/>
    </i>
    <i>
      <x v="12"/>
    </i>
    <i t="grand">
      <x/>
    </i>
  </rowItems>
  <colItems count="1">
    <i/>
  </colItems>
  <dataFields count="1">
    <dataField name="Sum of Total Sales" fld="6" baseField="0" baseItem="0" numFmtId="16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BD8FC-9977-4485-B6F2-79A345CEA653}" name="PivotTable7"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Top 5 Products by sales">
  <location ref="E15:F21" firstHeaderRow="1" firstDataRow="1" firstDataCol="1"/>
  <pivotFields count="9">
    <pivotField showAll="0"/>
    <pivotField showAll="0">
      <items count="15">
        <item x="0"/>
        <item x="1"/>
        <item x="2"/>
        <item x="3"/>
        <item x="4"/>
        <item x="5"/>
        <item x="6"/>
        <item x="7"/>
        <item x="8"/>
        <item x="9"/>
        <item x="10"/>
        <item x="11"/>
        <item x="12"/>
        <item x="13"/>
        <item t="default"/>
      </items>
    </pivotField>
    <pivotField axis="axisRow" showAll="0" measureFilter="1">
      <items count="9">
        <item x="6"/>
        <item x="2"/>
        <item x="7"/>
        <item x="5"/>
        <item x="4"/>
        <item x="0"/>
        <item x="1"/>
        <item x="3"/>
        <item t="default"/>
      </items>
    </pivotField>
    <pivotField showAll="0"/>
    <pivotField showAll="0"/>
    <pivotField showAll="0"/>
    <pivotField dataField="1" showAll="0"/>
    <pivotField showAll="0">
      <items count="13">
        <item h="1" x="2"/>
        <item h="1" x="1"/>
        <item h="1" x="0"/>
        <item h="1" x="7"/>
        <item h="1" x="3"/>
        <item h="1" x="4"/>
        <item h="1" x="11"/>
        <item h="1" x="5"/>
        <item x="9"/>
        <item h="1" x="10"/>
        <item h="1" x="8"/>
        <item h="1" x="6"/>
        <item t="default"/>
      </items>
    </pivotField>
    <pivotField showAll="0"/>
  </pivotFields>
  <rowFields count="1">
    <field x="2"/>
  </rowFields>
  <rowItems count="6">
    <i>
      <x/>
    </i>
    <i>
      <x v="2"/>
    </i>
    <i>
      <x v="3"/>
    </i>
    <i>
      <x v="4"/>
    </i>
    <i>
      <x v="6"/>
    </i>
    <i t="grand">
      <x/>
    </i>
  </rowItems>
  <colItems count="1">
    <i/>
  </colItems>
  <dataFields count="1">
    <dataField name="Sum of Total Sales" fld="6" baseField="0" baseItem="0" numFmtId="16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98728-677A-4FF3-A1D7-2EC6D405FF91}" name="PivotTable5"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 Rep">
  <location ref="K3:L14" firstHeaderRow="1" firstDataRow="1" firstDataCol="1"/>
  <pivotFields count="9">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items count="13">
        <item h="1" x="2"/>
        <item h="1" x="1"/>
        <item h="1" x="0"/>
        <item h="1" x="7"/>
        <item h="1" x="3"/>
        <item h="1" x="4"/>
        <item h="1" x="11"/>
        <item h="1" x="5"/>
        <item x="9"/>
        <item h="1" x="10"/>
        <item h="1" x="8"/>
        <item h="1" x="6"/>
        <item t="default"/>
      </items>
    </pivotField>
    <pivotField axis="axisRow" showAll="0">
      <items count="12">
        <item x="4"/>
        <item x="6"/>
        <item x="8"/>
        <item x="0"/>
        <item x="2"/>
        <item x="9"/>
        <item x="10"/>
        <item x="3"/>
        <item x="5"/>
        <item x="7"/>
        <item x="1"/>
        <item t="default"/>
      </items>
    </pivotField>
  </pivotFields>
  <rowFields count="1">
    <field x="8"/>
  </rowFields>
  <rowItems count="11">
    <i>
      <x/>
    </i>
    <i>
      <x v="1"/>
    </i>
    <i>
      <x v="2"/>
    </i>
    <i>
      <x v="3"/>
    </i>
    <i>
      <x v="4"/>
    </i>
    <i>
      <x v="5"/>
    </i>
    <i>
      <x v="6"/>
    </i>
    <i>
      <x v="7"/>
    </i>
    <i>
      <x v="8"/>
    </i>
    <i>
      <x v="9"/>
    </i>
    <i t="grand">
      <x/>
    </i>
  </rowItems>
  <colItems count="1">
    <i/>
  </colItems>
  <dataFields count="1">
    <dataField name="Sum of Total Sales"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9CF2AC-16BF-40EA-8F5C-D0F5A4046B2A}" name="PivotTable3"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ategory">
  <location ref="H3:I9" firstHeaderRow="1" firstDataRow="1" firstDataCol="1"/>
  <pivotFields count="9">
    <pivotField showAll="0"/>
    <pivotField showAll="0">
      <items count="15">
        <item x="0"/>
        <item x="1"/>
        <item x="2"/>
        <item x="3"/>
        <item x="4"/>
        <item x="5"/>
        <item x="6"/>
        <item x="7"/>
        <item x="8"/>
        <item x="9"/>
        <item x="10"/>
        <item x="11"/>
        <item x="12"/>
        <item x="13"/>
        <item t="default"/>
      </items>
    </pivotField>
    <pivotField showAll="0"/>
    <pivotField axis="axisRow" showAll="0">
      <items count="6">
        <item x="4"/>
        <item x="3"/>
        <item x="1"/>
        <item x="0"/>
        <item x="2"/>
        <item t="default"/>
      </items>
    </pivotField>
    <pivotField showAll="0"/>
    <pivotField showAll="0"/>
    <pivotField dataField="1" showAll="0"/>
    <pivotField showAll="0">
      <items count="13">
        <item h="1" x="2"/>
        <item h="1" x="1"/>
        <item h="1" x="0"/>
        <item h="1" x="7"/>
        <item h="1" x="3"/>
        <item h="1" x="4"/>
        <item h="1" x="11"/>
        <item h="1" x="5"/>
        <item x="9"/>
        <item h="1" x="10"/>
        <item h="1" x="8"/>
        <item h="1" x="6"/>
        <item t="default"/>
      </items>
    </pivotField>
    <pivotField showAll="0"/>
  </pivotFields>
  <rowFields count="1">
    <field x="3"/>
  </rowFields>
  <rowItems count="6">
    <i>
      <x/>
    </i>
    <i>
      <x v="1"/>
    </i>
    <i>
      <x v="2"/>
    </i>
    <i>
      <x v="3"/>
    </i>
    <i>
      <x v="4"/>
    </i>
    <i t="grand">
      <x/>
    </i>
  </rowItems>
  <colItems count="1">
    <i/>
  </colItems>
  <dataFields count="1">
    <dataField name="Sum of Total Sales" fld="6" baseField="0" baseItem="0" numFmtId="16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134C1-1C51-4F00-B0D3-C31CA062979C}" name="PivotTable2"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location ref="E3:F8" firstHeaderRow="1" firstDataRow="1" firstDataCol="1"/>
  <pivotFields count="9">
    <pivotField showAll="0"/>
    <pivotField showAll="0">
      <items count="15">
        <item h="1" x="0"/>
        <item x="1"/>
        <item h="1" x="2"/>
        <item h="1" x="3"/>
        <item h="1" x="4"/>
        <item h="1" x="5"/>
        <item h="1" x="6"/>
        <item h="1" x="7"/>
        <item h="1" x="8"/>
        <item h="1" x="9"/>
        <item h="1" x="10"/>
        <item h="1" x="11"/>
        <item h="1" x="12"/>
        <item h="1" x="13"/>
        <item t="default"/>
      </items>
    </pivotField>
    <pivotField axis="axisRow" showAll="0">
      <items count="9">
        <item x="6"/>
        <item x="2"/>
        <item x="7"/>
        <item x="5"/>
        <item x="4"/>
        <item x="0"/>
        <item x="1"/>
        <item x="3"/>
        <item t="default"/>
      </items>
    </pivotField>
    <pivotField showAll="0">
      <items count="6">
        <item x="4"/>
        <item x="3"/>
        <item x="1"/>
        <item x="0"/>
        <item x="2"/>
        <item t="default"/>
      </items>
    </pivotField>
    <pivotField showAll="0">
      <items count="17">
        <item x="14"/>
        <item x="2"/>
        <item x="3"/>
        <item x="15"/>
        <item x="9"/>
        <item x="10"/>
        <item x="7"/>
        <item x="8"/>
        <item x="13"/>
        <item x="5"/>
        <item x="1"/>
        <item x="4"/>
        <item x="0"/>
        <item x="12"/>
        <item x="11"/>
        <item x="6"/>
        <item t="default"/>
      </items>
    </pivotField>
    <pivotField showAll="0"/>
    <pivotField dataField="1" showAll="0"/>
    <pivotField showAll="0">
      <items count="13">
        <item h="1" x="2"/>
        <item h="1" x="1"/>
        <item h="1" x="0"/>
        <item h="1" x="7"/>
        <item h="1" x="3"/>
        <item h="1" x="4"/>
        <item h="1" x="11"/>
        <item h="1" x="5"/>
        <item x="9"/>
        <item h="1" x="10"/>
        <item h="1" x="8"/>
        <item h="1" x="6"/>
        <item t="default"/>
      </items>
    </pivotField>
    <pivotField showAll="0"/>
  </pivotFields>
  <rowFields count="1">
    <field x="2"/>
  </rowFields>
  <rowItems count="5">
    <i>
      <x v="2"/>
    </i>
    <i>
      <x v="3"/>
    </i>
    <i>
      <x v="4"/>
    </i>
    <i>
      <x v="6"/>
    </i>
    <i t="grand">
      <x/>
    </i>
  </rowItems>
  <colItems count="1">
    <i/>
  </colItems>
  <dataFields count="1">
    <dataField name="Sum of Total Sales"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427DFA-CC37-4CBC-9392-2A2E3754BBF5}" name="PivotTable1"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A3:B5" firstHeaderRow="1" firstDataRow="1" firstDataCol="1"/>
  <pivotFields count="9">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axis="axisRow" showAll="0">
      <items count="13">
        <item h="1" x="2"/>
        <item h="1" x="1"/>
        <item h="1" x="0"/>
        <item h="1" x="7"/>
        <item h="1" x="3"/>
        <item h="1" x="4"/>
        <item h="1" x="11"/>
        <item h="1" x="5"/>
        <item x="9"/>
        <item h="1" x="10"/>
        <item h="1" x="8"/>
        <item h="1" x="6"/>
        <item t="default"/>
      </items>
    </pivotField>
    <pivotField showAll="0"/>
  </pivotFields>
  <rowFields count="1">
    <field x="7"/>
  </rowFields>
  <rowItems count="2">
    <i>
      <x v="8"/>
    </i>
    <i t="grand">
      <x/>
    </i>
  </rowItems>
  <colItems count="1">
    <i/>
  </colItems>
  <dataFields count="1">
    <dataField name="Sum of Total Sales" fld="6" baseField="0" baseItem="0" numFmtId="16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3E2155-DFE4-4DB4-ADC5-964D9C52072D}" sourceName="Region">
  <pivotTables>
    <pivotTable tabId="3" name="PivotTable2"/>
    <pivotTable tabId="3" name="PivotTable1"/>
    <pivotTable tabId="3" name="PivotTable10"/>
    <pivotTable tabId="3" name="PivotTable3"/>
    <pivotTable tabId="3" name="PivotTable5"/>
    <pivotTable tabId="3" name="PivotTable7"/>
  </pivotTables>
  <data>
    <tabular pivotCacheId="2089882074">
      <items count="12">
        <i x="2"/>
        <i x="1"/>
        <i x="0"/>
        <i x="7"/>
        <i x="3"/>
        <i x="4"/>
        <i x="11"/>
        <i x="5"/>
        <i x="9" s="1"/>
        <i x="10"/>
        <i x="8"/>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0A2E1C4-D629-4384-A543-529924AC6495}" sourceName="Quantity">
  <pivotTables>
    <pivotTable tabId="3" name="PivotTable2"/>
  </pivotTables>
  <data>
    <tabular pivotCacheId="2089882074">
      <items count="16">
        <i x="2" s="1"/>
        <i x="15" s="1"/>
        <i x="8" s="1"/>
        <i x="13" s="1"/>
        <i x="14" s="1" nd="1"/>
        <i x="3" s="1" nd="1"/>
        <i x="9" s="1" nd="1"/>
        <i x="10" s="1" nd="1"/>
        <i x="7" s="1" nd="1"/>
        <i x="5" s="1" nd="1"/>
        <i x="1" s="1" nd="1"/>
        <i x="4" s="1" nd="1"/>
        <i x="0" s="1" nd="1"/>
        <i x="12" s="1" nd="1"/>
        <i x="11"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983C87-A8A8-4315-BCD9-B7F2A0BB1F3D}" sourceName="Category">
  <pivotTables>
    <pivotTable tabId="3" name="PivotTable2"/>
  </pivotTables>
  <data>
    <tabular pivotCacheId="2089882074">
      <items count="5">
        <i x="4" s="1"/>
        <i x="3" s="1"/>
        <i x="0" s="1"/>
        <i x="2"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D389CAE-7FBB-4E91-8E60-FB3EB81F8EA6}" sourceName="Product">
  <pivotTables>
    <pivotTable tabId="3" name="PivotTable2"/>
  </pivotTables>
  <data>
    <tabular pivotCacheId="2089882074">
      <items count="8">
        <i x="7" s="1"/>
        <i x="5" s="1"/>
        <i x="4" s="1"/>
        <i x="1" s="1"/>
        <i x="6" s="1" nd="1"/>
        <i x="2" s="1" nd="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10DD55F-486F-48B8-9E8E-61ED98F29AA9}" sourceName="Date">
  <pivotTables>
    <pivotTable tabId="3" name="PivotTable2"/>
  </pivotTables>
  <data>
    <tabular pivotCacheId="2089882074">
      <items count="14">
        <i x="1" s="1"/>
        <i x="2"/>
        <i x="3"/>
        <i x="4"/>
        <i x="5"/>
        <i x="6"/>
        <i x="7"/>
        <i x="8"/>
        <i x="10"/>
        <i x="11"/>
        <i x="12"/>
        <i x="9"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9E5A40-7506-4E6C-9BE1-484CCC2CADA8}" cache="Slicer_Region" caption="Region" startItem="5" rowHeight="241300"/>
  <slicer name="Quantity" xr10:uid="{0DDAB2DE-FA1E-495F-8C5B-464321FA34E7}" cache="Slicer_Quantity" caption="Quantity" rowHeight="241300"/>
  <slicer name="Category" xr10:uid="{7FB4D6E2-C52F-4C30-8814-802B8F2085F6}" cache="Slicer_Category" caption="Category" rowHeight="241300"/>
  <slicer name="Product" xr10:uid="{90443337-D2FE-4EBA-940C-38B5026719F2}" cache="Slicer_Product" caption="Product" rowHeight="241300"/>
  <slicer name="Date" xr10:uid="{22D33744-4583-4A67-A112-127EC5A84ACA}" cache="Slicer_Date" cap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2"/>
  <sheetViews>
    <sheetView workbookViewId="0">
      <selection activeCell="N13" sqref="N13"/>
    </sheetView>
  </sheetViews>
  <sheetFormatPr defaultRowHeight="14.5" x14ac:dyDescent="0.35"/>
  <cols>
    <col min="1" max="1" width="10" bestFit="1" customWidth="1"/>
  </cols>
  <sheetData>
    <row r="1" spans="1:9" ht="23.5" x14ac:dyDescent="0.55000000000000004">
      <c r="A1" s="5" t="s">
        <v>938</v>
      </c>
      <c r="B1" s="3"/>
      <c r="C1" s="3"/>
      <c r="D1" s="3"/>
      <c r="E1" s="3"/>
      <c r="F1" s="3"/>
      <c r="G1" s="3"/>
      <c r="H1" s="3"/>
      <c r="I1" s="3"/>
    </row>
    <row r="2" spans="1:9" x14ac:dyDescent="0.35">
      <c r="A2" t="s">
        <v>0</v>
      </c>
      <c r="B2" t="s">
        <v>1</v>
      </c>
      <c r="C2" t="s">
        <v>2</v>
      </c>
      <c r="D2" t="s">
        <v>3</v>
      </c>
      <c r="E2" t="s">
        <v>4</v>
      </c>
      <c r="F2" t="s">
        <v>5</v>
      </c>
      <c r="G2" t="s">
        <v>6</v>
      </c>
      <c r="H2" t="s">
        <v>7</v>
      </c>
      <c r="I2" t="s">
        <v>8</v>
      </c>
    </row>
    <row r="3" spans="1:9" x14ac:dyDescent="0.35">
      <c r="A3" t="s">
        <v>9</v>
      </c>
      <c r="B3" t="s">
        <v>10</v>
      </c>
      <c r="C3" t="s">
        <v>11</v>
      </c>
      <c r="D3" t="s">
        <v>12</v>
      </c>
      <c r="E3">
        <v>12</v>
      </c>
      <c r="F3">
        <v>1800</v>
      </c>
      <c r="G3">
        <v>21600</v>
      </c>
      <c r="H3" t="s">
        <v>13</v>
      </c>
      <c r="I3" t="s">
        <v>14</v>
      </c>
    </row>
    <row r="4" spans="1:9" x14ac:dyDescent="0.35">
      <c r="A4" t="s">
        <v>15</v>
      </c>
      <c r="B4" t="s">
        <v>16</v>
      </c>
      <c r="C4" t="s">
        <v>17</v>
      </c>
      <c r="D4" t="s">
        <v>12</v>
      </c>
      <c r="E4">
        <v>10</v>
      </c>
      <c r="F4">
        <v>3000</v>
      </c>
      <c r="G4">
        <v>30000</v>
      </c>
      <c r="H4" t="s">
        <v>18</v>
      </c>
    </row>
    <row r="5" spans="1:9" x14ac:dyDescent="0.35">
      <c r="A5" t="s">
        <v>19</v>
      </c>
      <c r="B5" t="s">
        <v>20</v>
      </c>
      <c r="C5" t="s">
        <v>21</v>
      </c>
      <c r="D5" t="s">
        <v>22</v>
      </c>
      <c r="E5">
        <v>-1</v>
      </c>
      <c r="F5" t="s">
        <v>23</v>
      </c>
      <c r="H5" t="s">
        <v>24</v>
      </c>
      <c r="I5" t="s">
        <v>25</v>
      </c>
    </row>
    <row r="6" spans="1:9" x14ac:dyDescent="0.35">
      <c r="A6" t="s">
        <v>26</v>
      </c>
      <c r="B6" t="s">
        <v>27</v>
      </c>
      <c r="C6" t="s">
        <v>28</v>
      </c>
      <c r="D6" t="s">
        <v>29</v>
      </c>
      <c r="E6">
        <v>2</v>
      </c>
      <c r="F6">
        <v>1500</v>
      </c>
      <c r="G6">
        <v>3000</v>
      </c>
      <c r="H6" t="s">
        <v>30</v>
      </c>
      <c r="I6" t="s">
        <v>31</v>
      </c>
    </row>
    <row r="7" spans="1:9" x14ac:dyDescent="0.35">
      <c r="A7" t="s">
        <v>32</v>
      </c>
      <c r="B7" t="s">
        <v>33</v>
      </c>
      <c r="C7" t="s">
        <v>34</v>
      </c>
      <c r="D7" t="s">
        <v>29</v>
      </c>
      <c r="E7">
        <v>11</v>
      </c>
      <c r="F7">
        <v>5500</v>
      </c>
      <c r="G7">
        <v>60500</v>
      </c>
      <c r="H7" t="s">
        <v>13</v>
      </c>
      <c r="I7" t="s">
        <v>31</v>
      </c>
    </row>
    <row r="8" spans="1:9" x14ac:dyDescent="0.35">
      <c r="A8" t="s">
        <v>35</v>
      </c>
      <c r="B8" t="s">
        <v>36</v>
      </c>
      <c r="C8" t="s">
        <v>37</v>
      </c>
      <c r="D8" t="s">
        <v>38</v>
      </c>
      <c r="E8">
        <v>9</v>
      </c>
      <c r="F8">
        <v>2000</v>
      </c>
      <c r="G8">
        <v>18000</v>
      </c>
      <c r="H8" t="s">
        <v>39</v>
      </c>
      <c r="I8" t="s">
        <v>40</v>
      </c>
    </row>
    <row r="9" spans="1:9" x14ac:dyDescent="0.35">
      <c r="A9" t="s">
        <v>41</v>
      </c>
      <c r="B9" t="s">
        <v>42</v>
      </c>
      <c r="C9" t="s">
        <v>11</v>
      </c>
      <c r="D9" t="s">
        <v>12</v>
      </c>
      <c r="E9">
        <v>15</v>
      </c>
      <c r="F9">
        <v>1800</v>
      </c>
      <c r="G9">
        <v>27000</v>
      </c>
      <c r="H9" t="s">
        <v>43</v>
      </c>
      <c r="I9" t="s">
        <v>14</v>
      </c>
    </row>
    <row r="10" spans="1:9" x14ac:dyDescent="0.35">
      <c r="A10" t="s">
        <v>44</v>
      </c>
      <c r="B10" t="s">
        <v>45</v>
      </c>
      <c r="C10" t="s">
        <v>11</v>
      </c>
      <c r="D10" t="s">
        <v>12</v>
      </c>
      <c r="E10">
        <v>6</v>
      </c>
      <c r="F10" t="s">
        <v>46</v>
      </c>
      <c r="G10">
        <v>10800</v>
      </c>
      <c r="H10" t="s">
        <v>47</v>
      </c>
      <c r="I10" t="s">
        <v>25</v>
      </c>
    </row>
    <row r="11" spans="1:9" x14ac:dyDescent="0.35">
      <c r="A11" t="s">
        <v>48</v>
      </c>
      <c r="B11" t="s">
        <v>49</v>
      </c>
      <c r="C11" t="s">
        <v>50</v>
      </c>
      <c r="D11" t="s">
        <v>12</v>
      </c>
      <c r="E11">
        <v>11</v>
      </c>
      <c r="F11">
        <v>2500</v>
      </c>
      <c r="G11">
        <v>27500</v>
      </c>
      <c r="H11" t="s">
        <v>39</v>
      </c>
      <c r="I11" t="s">
        <v>40</v>
      </c>
    </row>
    <row r="12" spans="1:9" x14ac:dyDescent="0.35">
      <c r="A12" t="s">
        <v>51</v>
      </c>
      <c r="B12" t="s">
        <v>52</v>
      </c>
      <c r="C12" t="s">
        <v>34</v>
      </c>
      <c r="D12" t="s">
        <v>29</v>
      </c>
      <c r="E12">
        <v>7</v>
      </c>
      <c r="F12">
        <v>5500</v>
      </c>
      <c r="G12">
        <v>38500</v>
      </c>
      <c r="H12" t="s">
        <v>53</v>
      </c>
      <c r="I12" t="s">
        <v>54</v>
      </c>
    </row>
    <row r="13" spans="1:9" x14ac:dyDescent="0.35">
      <c r="A13" t="s">
        <v>55</v>
      </c>
      <c r="B13" t="s">
        <v>56</v>
      </c>
      <c r="C13" t="s">
        <v>17</v>
      </c>
      <c r="D13" t="s">
        <v>12</v>
      </c>
      <c r="E13">
        <v>4</v>
      </c>
      <c r="F13" t="s">
        <v>57</v>
      </c>
      <c r="G13">
        <v>12000</v>
      </c>
      <c r="H13" t="s">
        <v>24</v>
      </c>
      <c r="I13" t="s">
        <v>14</v>
      </c>
    </row>
    <row r="14" spans="1:9" x14ac:dyDescent="0.35">
      <c r="A14" t="s">
        <v>58</v>
      </c>
      <c r="B14" t="s">
        <v>59</v>
      </c>
      <c r="C14" t="s">
        <v>60</v>
      </c>
      <c r="D14" t="s">
        <v>38</v>
      </c>
      <c r="E14">
        <v>5</v>
      </c>
      <c r="F14">
        <v>2000</v>
      </c>
      <c r="G14">
        <v>10000</v>
      </c>
      <c r="H14" t="s">
        <v>18</v>
      </c>
      <c r="I14" t="s">
        <v>54</v>
      </c>
    </row>
    <row r="15" spans="1:9" x14ac:dyDescent="0.35">
      <c r="A15" t="s">
        <v>61</v>
      </c>
      <c r="B15" t="s">
        <v>62</v>
      </c>
      <c r="C15" t="s">
        <v>17</v>
      </c>
      <c r="D15" t="s">
        <v>12</v>
      </c>
      <c r="E15">
        <v>14</v>
      </c>
      <c r="F15">
        <v>3000</v>
      </c>
      <c r="G15">
        <v>42000</v>
      </c>
      <c r="H15" t="s">
        <v>53</v>
      </c>
      <c r="I15" t="s">
        <v>63</v>
      </c>
    </row>
    <row r="16" spans="1:9" x14ac:dyDescent="0.35">
      <c r="A16" t="s">
        <v>64</v>
      </c>
      <c r="B16" t="s">
        <v>65</v>
      </c>
      <c r="C16" t="s">
        <v>17</v>
      </c>
      <c r="D16" t="s">
        <v>12</v>
      </c>
      <c r="E16">
        <v>13</v>
      </c>
      <c r="F16">
        <v>3000</v>
      </c>
      <c r="G16">
        <v>39000</v>
      </c>
      <c r="H16" t="s">
        <v>30</v>
      </c>
      <c r="I16" t="s">
        <v>66</v>
      </c>
    </row>
    <row r="17" spans="1:9" x14ac:dyDescent="0.35">
      <c r="A17" t="s">
        <v>67</v>
      </c>
      <c r="B17" t="s">
        <v>68</v>
      </c>
      <c r="C17" t="s">
        <v>34</v>
      </c>
      <c r="D17" t="s">
        <v>29</v>
      </c>
      <c r="E17">
        <v>-4</v>
      </c>
      <c r="F17" t="s">
        <v>69</v>
      </c>
      <c r="G17">
        <v>49500</v>
      </c>
      <c r="H17" t="s">
        <v>24</v>
      </c>
      <c r="I17" t="s">
        <v>40</v>
      </c>
    </row>
    <row r="18" spans="1:9" x14ac:dyDescent="0.35">
      <c r="A18" t="s">
        <v>70</v>
      </c>
      <c r="B18" t="s">
        <v>71</v>
      </c>
      <c r="C18" t="s">
        <v>34</v>
      </c>
      <c r="D18" t="s">
        <v>29</v>
      </c>
      <c r="E18">
        <v>5</v>
      </c>
      <c r="F18">
        <v>5500</v>
      </c>
      <c r="G18">
        <v>27500</v>
      </c>
      <c r="H18" t="s">
        <v>72</v>
      </c>
      <c r="I18" t="s">
        <v>73</v>
      </c>
    </row>
    <row r="19" spans="1:9" x14ac:dyDescent="0.35">
      <c r="A19" t="s">
        <v>74</v>
      </c>
      <c r="B19" t="s">
        <v>75</v>
      </c>
      <c r="C19" t="s">
        <v>11</v>
      </c>
      <c r="D19" t="s">
        <v>12</v>
      </c>
      <c r="E19">
        <v>8</v>
      </c>
      <c r="F19">
        <v>1800</v>
      </c>
      <c r="G19">
        <v>14400</v>
      </c>
      <c r="H19" t="s">
        <v>39</v>
      </c>
      <c r="I19" t="s">
        <v>76</v>
      </c>
    </row>
    <row r="20" spans="1:9" x14ac:dyDescent="0.35">
      <c r="A20" t="s">
        <v>77</v>
      </c>
      <c r="B20" t="s">
        <v>78</v>
      </c>
      <c r="C20" t="s">
        <v>34</v>
      </c>
      <c r="D20" t="s">
        <v>29</v>
      </c>
      <c r="E20">
        <v>7</v>
      </c>
      <c r="F20">
        <v>5500</v>
      </c>
      <c r="G20">
        <v>38500</v>
      </c>
      <c r="H20" t="s">
        <v>79</v>
      </c>
      <c r="I20" t="s">
        <v>63</v>
      </c>
    </row>
    <row r="21" spans="1:9" x14ac:dyDescent="0.35">
      <c r="A21" t="s">
        <v>80</v>
      </c>
      <c r="B21" t="s">
        <v>81</v>
      </c>
      <c r="C21" t="s">
        <v>11</v>
      </c>
      <c r="D21" t="s">
        <v>12</v>
      </c>
      <c r="E21">
        <v>8</v>
      </c>
      <c r="F21">
        <v>1800</v>
      </c>
      <c r="H21" t="s">
        <v>43</v>
      </c>
      <c r="I21" t="s">
        <v>40</v>
      </c>
    </row>
    <row r="22" spans="1:9" x14ac:dyDescent="0.35">
      <c r="A22" t="s">
        <v>82</v>
      </c>
      <c r="B22" t="s">
        <v>83</v>
      </c>
      <c r="C22" t="s">
        <v>50</v>
      </c>
      <c r="D22" t="s">
        <v>12</v>
      </c>
      <c r="E22">
        <v>9</v>
      </c>
      <c r="F22">
        <v>2500</v>
      </c>
      <c r="G22">
        <v>22500</v>
      </c>
      <c r="H22" t="s">
        <v>47</v>
      </c>
      <c r="I22" t="s">
        <v>76</v>
      </c>
    </row>
    <row r="23" spans="1:9" x14ac:dyDescent="0.35">
      <c r="A23" t="s">
        <v>84</v>
      </c>
      <c r="B23" t="s">
        <v>85</v>
      </c>
      <c r="C23" t="s">
        <v>86</v>
      </c>
      <c r="D23" t="s">
        <v>22</v>
      </c>
      <c r="E23">
        <v>8</v>
      </c>
      <c r="F23" t="s">
        <v>23</v>
      </c>
      <c r="G23">
        <v>8000</v>
      </c>
      <c r="H23" t="s">
        <v>43</v>
      </c>
      <c r="I23" t="s">
        <v>73</v>
      </c>
    </row>
    <row r="24" spans="1:9" x14ac:dyDescent="0.35">
      <c r="A24" t="s">
        <v>87</v>
      </c>
      <c r="B24" t="s">
        <v>88</v>
      </c>
      <c r="C24" t="s">
        <v>89</v>
      </c>
      <c r="D24" t="s">
        <v>90</v>
      </c>
      <c r="E24">
        <v>11</v>
      </c>
      <c r="F24">
        <v>1200</v>
      </c>
      <c r="G24">
        <v>13200</v>
      </c>
      <c r="H24" t="s">
        <v>18</v>
      </c>
      <c r="I24" t="s">
        <v>63</v>
      </c>
    </row>
    <row r="25" spans="1:9" x14ac:dyDescent="0.35">
      <c r="A25" t="s">
        <v>91</v>
      </c>
      <c r="B25" t="s">
        <v>92</v>
      </c>
      <c r="C25" t="s">
        <v>17</v>
      </c>
      <c r="D25" t="s">
        <v>12</v>
      </c>
      <c r="E25">
        <v>8</v>
      </c>
      <c r="F25">
        <v>3000</v>
      </c>
      <c r="G25">
        <v>24000</v>
      </c>
      <c r="H25" t="s">
        <v>79</v>
      </c>
      <c r="I25" t="s">
        <v>66</v>
      </c>
    </row>
    <row r="26" spans="1:9" x14ac:dyDescent="0.35">
      <c r="A26" t="s">
        <v>93</v>
      </c>
      <c r="B26" t="s">
        <v>94</v>
      </c>
      <c r="C26" t="s">
        <v>89</v>
      </c>
      <c r="D26" t="s">
        <v>90</v>
      </c>
      <c r="E26">
        <v>2</v>
      </c>
      <c r="F26" t="s">
        <v>95</v>
      </c>
      <c r="G26">
        <v>2400</v>
      </c>
      <c r="H26" t="s">
        <v>72</v>
      </c>
      <c r="I26" t="s">
        <v>40</v>
      </c>
    </row>
    <row r="27" spans="1:9" x14ac:dyDescent="0.35">
      <c r="B27" t="s">
        <v>96</v>
      </c>
      <c r="C27" t="s">
        <v>28</v>
      </c>
      <c r="D27" t="s">
        <v>29</v>
      </c>
      <c r="F27">
        <v>1500</v>
      </c>
      <c r="G27">
        <v>16500</v>
      </c>
      <c r="H27" t="s">
        <v>72</v>
      </c>
      <c r="I27" t="s">
        <v>40</v>
      </c>
    </row>
    <row r="28" spans="1:9" x14ac:dyDescent="0.35">
      <c r="A28" t="s">
        <v>97</v>
      </c>
      <c r="B28" t="s">
        <v>98</v>
      </c>
      <c r="C28" t="s">
        <v>60</v>
      </c>
      <c r="D28" t="s">
        <v>38</v>
      </c>
      <c r="E28">
        <v>11</v>
      </c>
      <c r="F28">
        <v>2000</v>
      </c>
      <c r="G28">
        <v>22000</v>
      </c>
      <c r="H28" t="s">
        <v>72</v>
      </c>
      <c r="I28" t="s">
        <v>40</v>
      </c>
    </row>
    <row r="29" spans="1:9" x14ac:dyDescent="0.35">
      <c r="A29" t="s">
        <v>99</v>
      </c>
      <c r="B29" t="s">
        <v>100</v>
      </c>
      <c r="C29" t="s">
        <v>89</v>
      </c>
      <c r="D29" t="s">
        <v>90</v>
      </c>
      <c r="E29">
        <v>13</v>
      </c>
      <c r="F29">
        <v>1200</v>
      </c>
      <c r="G29">
        <v>15600</v>
      </c>
      <c r="H29" t="s">
        <v>13</v>
      </c>
      <c r="I29" t="s">
        <v>31</v>
      </c>
    </row>
    <row r="30" spans="1:9" x14ac:dyDescent="0.35">
      <c r="A30" t="s">
        <v>101</v>
      </c>
      <c r="B30" t="s">
        <v>102</v>
      </c>
      <c r="C30" t="s">
        <v>11</v>
      </c>
      <c r="D30" t="s">
        <v>12</v>
      </c>
      <c r="E30">
        <v>12</v>
      </c>
      <c r="F30">
        <v>1800</v>
      </c>
      <c r="H30" t="s">
        <v>103</v>
      </c>
      <c r="I30" t="s">
        <v>40</v>
      </c>
    </row>
    <row r="31" spans="1:9" x14ac:dyDescent="0.35">
      <c r="A31" t="s">
        <v>104</v>
      </c>
      <c r="B31" t="s">
        <v>105</v>
      </c>
      <c r="C31" t="s">
        <v>106</v>
      </c>
      <c r="D31" t="s">
        <v>29</v>
      </c>
      <c r="E31">
        <v>10</v>
      </c>
      <c r="F31">
        <v>1500</v>
      </c>
      <c r="G31">
        <v>15000</v>
      </c>
      <c r="H31" t="s">
        <v>39</v>
      </c>
      <c r="I31" t="s">
        <v>107</v>
      </c>
    </row>
    <row r="32" spans="1:9" x14ac:dyDescent="0.35">
      <c r="A32" t="s">
        <v>108</v>
      </c>
      <c r="B32" t="s">
        <v>109</v>
      </c>
      <c r="C32" t="s">
        <v>34</v>
      </c>
      <c r="D32" t="s">
        <v>29</v>
      </c>
      <c r="E32">
        <v>1</v>
      </c>
      <c r="F32">
        <v>5500</v>
      </c>
      <c r="G32">
        <v>5500</v>
      </c>
      <c r="H32" t="s">
        <v>24</v>
      </c>
      <c r="I32" t="s">
        <v>107</v>
      </c>
    </row>
    <row r="33" spans="1:9" x14ac:dyDescent="0.35">
      <c r="A33" t="s">
        <v>110</v>
      </c>
      <c r="B33" t="s">
        <v>111</v>
      </c>
      <c r="C33" t="s">
        <v>11</v>
      </c>
      <c r="D33" t="s">
        <v>112</v>
      </c>
      <c r="E33">
        <v>4</v>
      </c>
      <c r="F33">
        <v>1800</v>
      </c>
      <c r="G33">
        <v>7200</v>
      </c>
      <c r="H33" t="s">
        <v>47</v>
      </c>
      <c r="I33" t="s">
        <v>14</v>
      </c>
    </row>
    <row r="34" spans="1:9" x14ac:dyDescent="0.35">
      <c r="A34" t="s">
        <v>113</v>
      </c>
      <c r="B34" t="s">
        <v>114</v>
      </c>
      <c r="C34" t="s">
        <v>60</v>
      </c>
      <c r="D34" t="s">
        <v>38</v>
      </c>
      <c r="E34">
        <v>3</v>
      </c>
      <c r="F34">
        <v>2000</v>
      </c>
      <c r="G34">
        <v>6000</v>
      </c>
      <c r="H34" t="s">
        <v>43</v>
      </c>
      <c r="I34" t="s">
        <v>63</v>
      </c>
    </row>
    <row r="35" spans="1:9" x14ac:dyDescent="0.35">
      <c r="A35" t="s">
        <v>115</v>
      </c>
      <c r="B35" t="s">
        <v>116</v>
      </c>
      <c r="C35" t="s">
        <v>89</v>
      </c>
      <c r="D35" t="s">
        <v>90</v>
      </c>
      <c r="E35">
        <v>14</v>
      </c>
      <c r="F35">
        <v>1200</v>
      </c>
      <c r="H35" t="s">
        <v>13</v>
      </c>
    </row>
    <row r="36" spans="1:9" x14ac:dyDescent="0.35">
      <c r="A36" t="s">
        <v>117</v>
      </c>
      <c r="B36" t="s">
        <v>118</v>
      </c>
      <c r="C36" t="s">
        <v>17</v>
      </c>
      <c r="D36" t="s">
        <v>12</v>
      </c>
      <c r="E36">
        <v>14</v>
      </c>
      <c r="F36">
        <v>3000</v>
      </c>
      <c r="G36">
        <v>42000</v>
      </c>
      <c r="H36" t="s">
        <v>103</v>
      </c>
      <c r="I36" t="s">
        <v>63</v>
      </c>
    </row>
    <row r="37" spans="1:9" x14ac:dyDescent="0.35">
      <c r="A37" t="s">
        <v>119</v>
      </c>
      <c r="B37" t="s">
        <v>120</v>
      </c>
      <c r="C37" t="s">
        <v>60</v>
      </c>
      <c r="D37" t="s">
        <v>38</v>
      </c>
      <c r="E37">
        <v>9</v>
      </c>
      <c r="F37">
        <v>2000</v>
      </c>
      <c r="G37">
        <v>18000</v>
      </c>
      <c r="H37" t="s">
        <v>13</v>
      </c>
      <c r="I37" t="s">
        <v>66</v>
      </c>
    </row>
    <row r="38" spans="1:9" x14ac:dyDescent="0.35">
      <c r="A38" t="s">
        <v>121</v>
      </c>
      <c r="B38" t="s">
        <v>122</v>
      </c>
      <c r="C38" t="s">
        <v>21</v>
      </c>
      <c r="D38" t="s">
        <v>22</v>
      </c>
      <c r="E38">
        <v>10</v>
      </c>
      <c r="F38">
        <v>1000</v>
      </c>
      <c r="G38">
        <v>10000</v>
      </c>
      <c r="H38" t="s">
        <v>123</v>
      </c>
      <c r="I38" t="s">
        <v>54</v>
      </c>
    </row>
    <row r="39" spans="1:9" x14ac:dyDescent="0.35">
      <c r="A39" t="s">
        <v>124</v>
      </c>
      <c r="B39" t="s">
        <v>125</v>
      </c>
      <c r="C39" t="s">
        <v>11</v>
      </c>
      <c r="D39" t="s">
        <v>12</v>
      </c>
      <c r="E39">
        <v>10</v>
      </c>
      <c r="F39">
        <v>1800</v>
      </c>
      <c r="G39">
        <v>18000</v>
      </c>
      <c r="H39" t="s">
        <v>47</v>
      </c>
      <c r="I39" t="s">
        <v>54</v>
      </c>
    </row>
    <row r="40" spans="1:9" x14ac:dyDescent="0.35">
      <c r="A40" t="s">
        <v>126</v>
      </c>
      <c r="B40" t="s">
        <v>127</v>
      </c>
      <c r="C40" t="s">
        <v>60</v>
      </c>
      <c r="D40" t="s">
        <v>38</v>
      </c>
      <c r="E40">
        <v>2</v>
      </c>
      <c r="F40">
        <v>2000</v>
      </c>
      <c r="G40">
        <v>4000</v>
      </c>
      <c r="H40" t="s">
        <v>47</v>
      </c>
      <c r="I40" t="s">
        <v>54</v>
      </c>
    </row>
    <row r="41" spans="1:9" x14ac:dyDescent="0.35">
      <c r="A41" t="s">
        <v>128</v>
      </c>
      <c r="B41" t="s">
        <v>129</v>
      </c>
      <c r="C41" t="s">
        <v>34</v>
      </c>
      <c r="D41" t="s">
        <v>29</v>
      </c>
      <c r="F41">
        <v>5500</v>
      </c>
      <c r="G41">
        <v>22000</v>
      </c>
      <c r="H41" t="s">
        <v>47</v>
      </c>
      <c r="I41" t="s">
        <v>31</v>
      </c>
    </row>
    <row r="42" spans="1:9" x14ac:dyDescent="0.35">
      <c r="A42" t="s">
        <v>130</v>
      </c>
      <c r="B42" t="s">
        <v>131</v>
      </c>
      <c r="C42" t="s">
        <v>89</v>
      </c>
      <c r="D42" t="s">
        <v>90</v>
      </c>
      <c r="E42">
        <v>13</v>
      </c>
      <c r="F42">
        <v>1200</v>
      </c>
      <c r="G42">
        <v>15600</v>
      </c>
      <c r="H42" t="s">
        <v>39</v>
      </c>
      <c r="I42" t="s">
        <v>107</v>
      </c>
    </row>
    <row r="43" spans="1:9" x14ac:dyDescent="0.35">
      <c r="A43" t="s">
        <v>132</v>
      </c>
      <c r="B43" t="s">
        <v>133</v>
      </c>
      <c r="C43" t="s">
        <v>21</v>
      </c>
      <c r="D43" t="s">
        <v>22</v>
      </c>
      <c r="E43">
        <v>3</v>
      </c>
      <c r="F43">
        <v>1000</v>
      </c>
      <c r="G43">
        <v>3000</v>
      </c>
      <c r="H43" t="s">
        <v>39</v>
      </c>
      <c r="I43" t="s">
        <v>107</v>
      </c>
    </row>
    <row r="44" spans="1:9" x14ac:dyDescent="0.35">
      <c r="A44" t="s">
        <v>134</v>
      </c>
      <c r="B44" t="s">
        <v>135</v>
      </c>
      <c r="C44" t="s">
        <v>50</v>
      </c>
      <c r="D44" t="s">
        <v>12</v>
      </c>
      <c r="E44">
        <v>13</v>
      </c>
      <c r="F44">
        <v>2500</v>
      </c>
      <c r="G44">
        <v>32500</v>
      </c>
      <c r="H44" t="s">
        <v>18</v>
      </c>
      <c r="I44" t="s">
        <v>107</v>
      </c>
    </row>
    <row r="45" spans="1:9" x14ac:dyDescent="0.35">
      <c r="A45" t="s">
        <v>136</v>
      </c>
      <c r="B45" t="s">
        <v>137</v>
      </c>
      <c r="C45" t="s">
        <v>11</v>
      </c>
      <c r="D45" t="s">
        <v>12</v>
      </c>
      <c r="E45">
        <v>3</v>
      </c>
      <c r="F45">
        <v>1800</v>
      </c>
      <c r="G45">
        <v>5400</v>
      </c>
      <c r="H45" t="s">
        <v>43</v>
      </c>
      <c r="I45" t="s">
        <v>54</v>
      </c>
    </row>
    <row r="46" spans="1:9" x14ac:dyDescent="0.35">
      <c r="B46" t="s">
        <v>138</v>
      </c>
      <c r="C46" t="s">
        <v>11</v>
      </c>
      <c r="D46" t="s">
        <v>12</v>
      </c>
      <c r="E46">
        <v>15</v>
      </c>
      <c r="F46">
        <v>1800</v>
      </c>
      <c r="G46">
        <v>27000</v>
      </c>
      <c r="H46" t="s">
        <v>72</v>
      </c>
      <c r="I46" t="s">
        <v>31</v>
      </c>
    </row>
    <row r="47" spans="1:9" x14ac:dyDescent="0.35">
      <c r="A47" t="s">
        <v>139</v>
      </c>
      <c r="B47" t="s">
        <v>140</v>
      </c>
      <c r="C47" t="s">
        <v>89</v>
      </c>
      <c r="D47" t="s">
        <v>90</v>
      </c>
      <c r="E47">
        <v>11</v>
      </c>
      <c r="F47">
        <v>1200</v>
      </c>
      <c r="G47">
        <v>13200</v>
      </c>
      <c r="H47" t="s">
        <v>13</v>
      </c>
      <c r="I47" t="s">
        <v>31</v>
      </c>
    </row>
    <row r="48" spans="1:9" x14ac:dyDescent="0.35">
      <c r="A48" t="s">
        <v>141</v>
      </c>
      <c r="B48" t="s">
        <v>142</v>
      </c>
      <c r="C48" t="s">
        <v>50</v>
      </c>
      <c r="D48" t="s">
        <v>12</v>
      </c>
      <c r="E48">
        <v>2</v>
      </c>
      <c r="F48">
        <v>2500</v>
      </c>
      <c r="G48">
        <v>5000</v>
      </c>
      <c r="H48" t="s">
        <v>43</v>
      </c>
      <c r="I48" t="s">
        <v>54</v>
      </c>
    </row>
    <row r="49" spans="1:9" x14ac:dyDescent="0.35">
      <c r="A49" t="s">
        <v>143</v>
      </c>
      <c r="B49" t="s">
        <v>144</v>
      </c>
      <c r="C49" t="s">
        <v>86</v>
      </c>
      <c r="D49" t="s">
        <v>22</v>
      </c>
      <c r="E49">
        <v>12</v>
      </c>
      <c r="F49" t="s">
        <v>23</v>
      </c>
      <c r="G49">
        <v>12000</v>
      </c>
      <c r="H49" t="s">
        <v>47</v>
      </c>
      <c r="I49" t="s">
        <v>25</v>
      </c>
    </row>
    <row r="50" spans="1:9" x14ac:dyDescent="0.35">
      <c r="B50" t="s">
        <v>145</v>
      </c>
      <c r="C50" t="s">
        <v>146</v>
      </c>
      <c r="D50" t="s">
        <v>12</v>
      </c>
      <c r="E50">
        <v>12</v>
      </c>
      <c r="F50">
        <v>3000</v>
      </c>
      <c r="G50">
        <v>36000</v>
      </c>
      <c r="H50" t="s">
        <v>39</v>
      </c>
      <c r="I50" t="s">
        <v>14</v>
      </c>
    </row>
    <row r="51" spans="1:9" x14ac:dyDescent="0.35">
      <c r="A51" t="s">
        <v>147</v>
      </c>
      <c r="B51" t="s">
        <v>148</v>
      </c>
      <c r="C51" t="s">
        <v>11</v>
      </c>
      <c r="D51" t="s">
        <v>12</v>
      </c>
      <c r="E51">
        <v>10</v>
      </c>
      <c r="F51">
        <v>1800</v>
      </c>
      <c r="G51">
        <v>18000</v>
      </c>
      <c r="H51" t="s">
        <v>47</v>
      </c>
      <c r="I51" t="s">
        <v>40</v>
      </c>
    </row>
    <row r="52" spans="1:9" x14ac:dyDescent="0.35">
      <c r="A52" t="s">
        <v>149</v>
      </c>
      <c r="B52" t="s">
        <v>150</v>
      </c>
      <c r="C52" t="s">
        <v>151</v>
      </c>
      <c r="D52" t="s">
        <v>29</v>
      </c>
      <c r="E52">
        <v>11</v>
      </c>
      <c r="F52">
        <v>5500</v>
      </c>
      <c r="G52">
        <v>60500</v>
      </c>
      <c r="H52" t="s">
        <v>43</v>
      </c>
      <c r="I52" t="s">
        <v>107</v>
      </c>
    </row>
    <row r="53" spans="1:9" x14ac:dyDescent="0.35">
      <c r="A53" t="s">
        <v>152</v>
      </c>
      <c r="B53" t="s">
        <v>153</v>
      </c>
      <c r="C53" t="s">
        <v>28</v>
      </c>
      <c r="D53" t="s">
        <v>29</v>
      </c>
      <c r="E53">
        <v>9</v>
      </c>
      <c r="F53">
        <v>1500</v>
      </c>
      <c r="G53">
        <v>13500</v>
      </c>
      <c r="H53" t="s">
        <v>72</v>
      </c>
      <c r="I53" t="s">
        <v>40</v>
      </c>
    </row>
    <row r="54" spans="1:9" x14ac:dyDescent="0.35">
      <c r="A54" t="s">
        <v>154</v>
      </c>
      <c r="B54" t="s">
        <v>155</v>
      </c>
      <c r="C54" t="s">
        <v>50</v>
      </c>
      <c r="D54" t="s">
        <v>12</v>
      </c>
      <c r="E54">
        <v>13</v>
      </c>
      <c r="F54">
        <v>2500</v>
      </c>
      <c r="G54">
        <v>32500</v>
      </c>
      <c r="H54" t="s">
        <v>103</v>
      </c>
      <c r="I54" t="s">
        <v>76</v>
      </c>
    </row>
    <row r="55" spans="1:9" x14ac:dyDescent="0.35">
      <c r="A55" t="s">
        <v>156</v>
      </c>
      <c r="B55" t="s">
        <v>157</v>
      </c>
      <c r="C55" t="s">
        <v>89</v>
      </c>
      <c r="D55" t="s">
        <v>90</v>
      </c>
      <c r="E55">
        <v>13</v>
      </c>
      <c r="F55">
        <v>1200</v>
      </c>
      <c r="G55">
        <v>15600</v>
      </c>
      <c r="H55" t="s">
        <v>18</v>
      </c>
      <c r="I55" t="s">
        <v>66</v>
      </c>
    </row>
    <row r="56" spans="1:9" x14ac:dyDescent="0.35">
      <c r="A56" t="s">
        <v>158</v>
      </c>
      <c r="B56" t="s">
        <v>159</v>
      </c>
      <c r="C56" t="s">
        <v>89</v>
      </c>
      <c r="D56" t="s">
        <v>90</v>
      </c>
      <c r="E56">
        <v>1</v>
      </c>
      <c r="F56">
        <v>1200</v>
      </c>
      <c r="G56">
        <v>1200</v>
      </c>
      <c r="H56" t="s">
        <v>123</v>
      </c>
      <c r="I56" t="s">
        <v>54</v>
      </c>
    </row>
    <row r="57" spans="1:9" x14ac:dyDescent="0.35">
      <c r="A57" t="s">
        <v>160</v>
      </c>
      <c r="B57" t="s">
        <v>161</v>
      </c>
      <c r="C57" t="s">
        <v>60</v>
      </c>
      <c r="D57" t="s">
        <v>38</v>
      </c>
      <c r="E57">
        <v>3</v>
      </c>
      <c r="F57">
        <v>2000</v>
      </c>
      <c r="G57">
        <v>6000</v>
      </c>
      <c r="H57" t="s">
        <v>13</v>
      </c>
      <c r="I57" t="s">
        <v>66</v>
      </c>
    </row>
    <row r="58" spans="1:9" x14ac:dyDescent="0.35">
      <c r="A58" t="s">
        <v>162</v>
      </c>
      <c r="B58" t="s">
        <v>163</v>
      </c>
      <c r="C58" t="s">
        <v>60</v>
      </c>
      <c r="D58" t="s">
        <v>38</v>
      </c>
      <c r="E58">
        <v>12</v>
      </c>
      <c r="F58" t="s">
        <v>164</v>
      </c>
      <c r="G58">
        <v>24000</v>
      </c>
      <c r="H58" t="s">
        <v>72</v>
      </c>
      <c r="I58" t="s">
        <v>66</v>
      </c>
    </row>
    <row r="59" spans="1:9" x14ac:dyDescent="0.35">
      <c r="A59" t="s">
        <v>165</v>
      </c>
      <c r="B59" t="s">
        <v>166</v>
      </c>
      <c r="C59" t="s">
        <v>21</v>
      </c>
      <c r="D59" t="s">
        <v>22</v>
      </c>
      <c r="E59">
        <v>7</v>
      </c>
      <c r="F59">
        <v>1000</v>
      </c>
      <c r="G59">
        <v>7000</v>
      </c>
      <c r="H59" t="s">
        <v>72</v>
      </c>
      <c r="I59" t="s">
        <v>107</v>
      </c>
    </row>
    <row r="60" spans="1:9" x14ac:dyDescent="0.35">
      <c r="A60" t="s">
        <v>167</v>
      </c>
      <c r="B60" t="s">
        <v>168</v>
      </c>
      <c r="C60" t="s">
        <v>17</v>
      </c>
      <c r="D60" t="s">
        <v>12</v>
      </c>
      <c r="E60">
        <v>11</v>
      </c>
      <c r="F60">
        <v>3000</v>
      </c>
      <c r="G60">
        <v>33000</v>
      </c>
      <c r="H60" t="s">
        <v>24</v>
      </c>
      <c r="I60" t="s">
        <v>14</v>
      </c>
    </row>
    <row r="61" spans="1:9" x14ac:dyDescent="0.35">
      <c r="A61" t="s">
        <v>169</v>
      </c>
      <c r="B61" t="s">
        <v>170</v>
      </c>
      <c r="C61" t="s">
        <v>11</v>
      </c>
      <c r="D61" t="s">
        <v>12</v>
      </c>
      <c r="E61">
        <v>11</v>
      </c>
      <c r="F61">
        <v>1800</v>
      </c>
      <c r="G61">
        <v>19800</v>
      </c>
      <c r="H61" t="s">
        <v>43</v>
      </c>
      <c r="I61" t="s">
        <v>76</v>
      </c>
    </row>
    <row r="62" spans="1:9" x14ac:dyDescent="0.35">
      <c r="A62" t="s">
        <v>171</v>
      </c>
      <c r="B62" t="s">
        <v>172</v>
      </c>
      <c r="C62" t="s">
        <v>89</v>
      </c>
      <c r="D62" t="s">
        <v>90</v>
      </c>
      <c r="E62">
        <v>10</v>
      </c>
      <c r="F62">
        <v>1200</v>
      </c>
      <c r="G62">
        <v>12000</v>
      </c>
      <c r="H62" t="s">
        <v>30</v>
      </c>
      <c r="I62" t="s">
        <v>107</v>
      </c>
    </row>
    <row r="63" spans="1:9" x14ac:dyDescent="0.35">
      <c r="A63" t="s">
        <v>173</v>
      </c>
      <c r="B63" t="s">
        <v>174</v>
      </c>
      <c r="C63" t="s">
        <v>60</v>
      </c>
      <c r="D63" t="s">
        <v>38</v>
      </c>
      <c r="F63">
        <v>2000</v>
      </c>
      <c r="G63">
        <v>2000</v>
      </c>
      <c r="H63" t="s">
        <v>24</v>
      </c>
      <c r="I63" t="s">
        <v>40</v>
      </c>
    </row>
    <row r="64" spans="1:9" x14ac:dyDescent="0.35">
      <c r="A64" t="s">
        <v>175</v>
      </c>
      <c r="B64" t="s">
        <v>176</v>
      </c>
      <c r="C64" t="s">
        <v>28</v>
      </c>
      <c r="D64" t="s">
        <v>29</v>
      </c>
      <c r="E64">
        <v>4</v>
      </c>
      <c r="F64">
        <v>1500</v>
      </c>
      <c r="G64">
        <v>6000</v>
      </c>
      <c r="H64" t="s">
        <v>53</v>
      </c>
      <c r="I64" t="s">
        <v>54</v>
      </c>
    </row>
    <row r="65" spans="1:9" x14ac:dyDescent="0.35">
      <c r="A65" t="s">
        <v>177</v>
      </c>
      <c r="B65" t="s">
        <v>178</v>
      </c>
      <c r="C65" t="s">
        <v>89</v>
      </c>
      <c r="D65" t="s">
        <v>90</v>
      </c>
      <c r="E65">
        <v>8</v>
      </c>
      <c r="F65">
        <v>1200</v>
      </c>
      <c r="G65">
        <v>9600</v>
      </c>
      <c r="H65" t="s">
        <v>24</v>
      </c>
      <c r="I65" t="s">
        <v>76</v>
      </c>
    </row>
    <row r="66" spans="1:9" x14ac:dyDescent="0.35">
      <c r="A66" t="s">
        <v>179</v>
      </c>
      <c r="B66" t="s">
        <v>180</v>
      </c>
      <c r="C66" t="s">
        <v>17</v>
      </c>
      <c r="D66" t="s">
        <v>12</v>
      </c>
      <c r="E66">
        <v>12</v>
      </c>
      <c r="F66">
        <v>3000</v>
      </c>
      <c r="G66">
        <v>36000</v>
      </c>
      <c r="H66" t="s">
        <v>43</v>
      </c>
      <c r="I66" t="s">
        <v>107</v>
      </c>
    </row>
    <row r="67" spans="1:9" x14ac:dyDescent="0.35">
      <c r="A67" t="s">
        <v>181</v>
      </c>
      <c r="B67" t="s">
        <v>182</v>
      </c>
      <c r="C67" t="s">
        <v>89</v>
      </c>
      <c r="D67" t="s">
        <v>90</v>
      </c>
      <c r="E67">
        <v>11</v>
      </c>
      <c r="F67">
        <v>1200</v>
      </c>
      <c r="G67">
        <v>13200</v>
      </c>
      <c r="H67" t="s">
        <v>72</v>
      </c>
      <c r="I67" t="s">
        <v>31</v>
      </c>
    </row>
    <row r="68" spans="1:9" x14ac:dyDescent="0.35">
      <c r="A68" t="s">
        <v>183</v>
      </c>
      <c r="B68" t="s">
        <v>184</v>
      </c>
      <c r="C68" t="s">
        <v>28</v>
      </c>
      <c r="D68" t="s">
        <v>29</v>
      </c>
      <c r="E68">
        <v>11</v>
      </c>
      <c r="F68">
        <v>1500</v>
      </c>
      <c r="G68">
        <v>16500</v>
      </c>
      <c r="H68" t="s">
        <v>13</v>
      </c>
      <c r="I68" t="s">
        <v>54</v>
      </c>
    </row>
    <row r="69" spans="1:9" x14ac:dyDescent="0.35">
      <c r="A69" t="s">
        <v>185</v>
      </c>
      <c r="B69" t="s">
        <v>186</v>
      </c>
      <c r="C69" t="s">
        <v>34</v>
      </c>
      <c r="D69" t="s">
        <v>29</v>
      </c>
      <c r="E69">
        <v>5</v>
      </c>
      <c r="F69">
        <v>5500</v>
      </c>
      <c r="G69">
        <v>27500</v>
      </c>
      <c r="H69" t="s">
        <v>187</v>
      </c>
      <c r="I69" t="s">
        <v>40</v>
      </c>
    </row>
    <row r="70" spans="1:9" x14ac:dyDescent="0.35">
      <c r="A70" t="s">
        <v>188</v>
      </c>
      <c r="B70" t="s">
        <v>189</v>
      </c>
      <c r="C70" t="s">
        <v>17</v>
      </c>
      <c r="D70" t="s">
        <v>12</v>
      </c>
      <c r="E70">
        <v>12</v>
      </c>
      <c r="F70">
        <v>3000</v>
      </c>
      <c r="G70">
        <v>36000</v>
      </c>
      <c r="H70" t="s">
        <v>72</v>
      </c>
      <c r="I70" t="s">
        <v>73</v>
      </c>
    </row>
    <row r="71" spans="1:9" x14ac:dyDescent="0.35">
      <c r="A71" t="s">
        <v>190</v>
      </c>
      <c r="B71" t="s">
        <v>191</v>
      </c>
      <c r="C71" t="s">
        <v>50</v>
      </c>
      <c r="D71" t="s">
        <v>12</v>
      </c>
      <c r="F71">
        <v>2500</v>
      </c>
      <c r="G71">
        <v>12500</v>
      </c>
      <c r="H71" t="s">
        <v>123</v>
      </c>
      <c r="I71" t="s">
        <v>14</v>
      </c>
    </row>
    <row r="72" spans="1:9" x14ac:dyDescent="0.35">
      <c r="A72" t="s">
        <v>192</v>
      </c>
      <c r="B72" t="s">
        <v>193</v>
      </c>
      <c r="C72" t="s">
        <v>17</v>
      </c>
      <c r="D72" t="s">
        <v>12</v>
      </c>
      <c r="E72">
        <v>13</v>
      </c>
      <c r="F72">
        <v>3000</v>
      </c>
      <c r="G72">
        <v>39000</v>
      </c>
      <c r="H72" t="s">
        <v>79</v>
      </c>
      <c r="I72" t="s">
        <v>73</v>
      </c>
    </row>
    <row r="73" spans="1:9" x14ac:dyDescent="0.35">
      <c r="A73" t="s">
        <v>194</v>
      </c>
      <c r="B73" t="s">
        <v>195</v>
      </c>
      <c r="C73" t="s">
        <v>34</v>
      </c>
      <c r="D73" t="s">
        <v>29</v>
      </c>
      <c r="E73">
        <v>5</v>
      </c>
      <c r="F73">
        <v>5500</v>
      </c>
      <c r="G73">
        <v>27500</v>
      </c>
      <c r="H73" t="s">
        <v>47</v>
      </c>
      <c r="I73" t="s">
        <v>73</v>
      </c>
    </row>
    <row r="74" spans="1:9" x14ac:dyDescent="0.35">
      <c r="A74" t="s">
        <v>196</v>
      </c>
      <c r="B74" t="s">
        <v>197</v>
      </c>
      <c r="C74" t="s">
        <v>21</v>
      </c>
      <c r="D74" t="s">
        <v>22</v>
      </c>
      <c r="E74">
        <v>10</v>
      </c>
      <c r="F74">
        <v>1000</v>
      </c>
      <c r="G74">
        <v>10000</v>
      </c>
      <c r="H74" t="s">
        <v>24</v>
      </c>
      <c r="I74" t="s">
        <v>63</v>
      </c>
    </row>
    <row r="75" spans="1:9" x14ac:dyDescent="0.35">
      <c r="A75" t="s">
        <v>198</v>
      </c>
      <c r="B75" t="s">
        <v>199</v>
      </c>
      <c r="C75" t="s">
        <v>34</v>
      </c>
      <c r="D75" t="s">
        <v>200</v>
      </c>
      <c r="E75">
        <v>7</v>
      </c>
      <c r="F75">
        <v>5500</v>
      </c>
      <c r="G75">
        <v>38500</v>
      </c>
      <c r="H75" t="s">
        <v>30</v>
      </c>
      <c r="I75" t="s">
        <v>66</v>
      </c>
    </row>
    <row r="76" spans="1:9" x14ac:dyDescent="0.35">
      <c r="A76" t="s">
        <v>201</v>
      </c>
      <c r="B76" t="s">
        <v>202</v>
      </c>
      <c r="C76" t="s">
        <v>28</v>
      </c>
      <c r="D76" t="s">
        <v>29</v>
      </c>
      <c r="E76">
        <v>9</v>
      </c>
      <c r="F76" t="s">
        <v>203</v>
      </c>
      <c r="G76">
        <v>13500</v>
      </c>
      <c r="H76" t="s">
        <v>39</v>
      </c>
      <c r="I76" t="s">
        <v>76</v>
      </c>
    </row>
    <row r="77" spans="1:9" x14ac:dyDescent="0.35">
      <c r="A77" t="s">
        <v>204</v>
      </c>
      <c r="B77" t="s">
        <v>205</v>
      </c>
      <c r="C77" t="s">
        <v>60</v>
      </c>
      <c r="D77" t="s">
        <v>38</v>
      </c>
      <c r="E77">
        <v>13</v>
      </c>
      <c r="F77">
        <v>2000</v>
      </c>
      <c r="G77">
        <v>26000</v>
      </c>
      <c r="H77" t="s">
        <v>123</v>
      </c>
      <c r="I77" t="s">
        <v>73</v>
      </c>
    </row>
    <row r="78" spans="1:9" x14ac:dyDescent="0.35">
      <c r="A78" t="s">
        <v>206</v>
      </c>
      <c r="B78" t="s">
        <v>207</v>
      </c>
      <c r="C78" t="s">
        <v>60</v>
      </c>
      <c r="D78" t="s">
        <v>38</v>
      </c>
      <c r="E78">
        <v>14</v>
      </c>
      <c r="F78">
        <v>2000</v>
      </c>
      <c r="G78">
        <v>28000</v>
      </c>
      <c r="H78" t="s">
        <v>18</v>
      </c>
      <c r="I78" t="s">
        <v>54</v>
      </c>
    </row>
    <row r="79" spans="1:9" x14ac:dyDescent="0.35">
      <c r="A79" t="s">
        <v>208</v>
      </c>
      <c r="B79" t="s">
        <v>209</v>
      </c>
      <c r="C79" t="s">
        <v>21</v>
      </c>
      <c r="D79" t="s">
        <v>210</v>
      </c>
      <c r="E79">
        <v>8</v>
      </c>
      <c r="F79">
        <v>1000</v>
      </c>
      <c r="G79">
        <v>8000</v>
      </c>
      <c r="H79" t="s">
        <v>13</v>
      </c>
      <c r="I79" t="s">
        <v>63</v>
      </c>
    </row>
    <row r="80" spans="1:9" x14ac:dyDescent="0.35">
      <c r="A80" t="s">
        <v>211</v>
      </c>
      <c r="B80" t="s">
        <v>212</v>
      </c>
      <c r="C80" t="s">
        <v>50</v>
      </c>
      <c r="D80" t="s">
        <v>112</v>
      </c>
      <c r="E80">
        <v>5</v>
      </c>
      <c r="F80">
        <v>2500</v>
      </c>
      <c r="G80">
        <v>12500</v>
      </c>
      <c r="H80" t="s">
        <v>24</v>
      </c>
      <c r="I80" t="s">
        <v>54</v>
      </c>
    </row>
    <row r="81" spans="1:9" x14ac:dyDescent="0.35">
      <c r="A81" t="s">
        <v>213</v>
      </c>
      <c r="B81" t="s">
        <v>214</v>
      </c>
      <c r="C81" t="s">
        <v>50</v>
      </c>
      <c r="D81" t="s">
        <v>12</v>
      </c>
      <c r="E81">
        <v>2</v>
      </c>
      <c r="F81">
        <v>2500</v>
      </c>
      <c r="G81">
        <v>5000</v>
      </c>
      <c r="H81" t="s">
        <v>43</v>
      </c>
      <c r="I81" t="s">
        <v>40</v>
      </c>
    </row>
    <row r="82" spans="1:9" x14ac:dyDescent="0.35">
      <c r="A82" t="s">
        <v>215</v>
      </c>
      <c r="B82" t="s">
        <v>216</v>
      </c>
      <c r="C82" t="s">
        <v>28</v>
      </c>
      <c r="D82" t="s">
        <v>29</v>
      </c>
      <c r="E82">
        <v>5</v>
      </c>
      <c r="F82">
        <v>1500</v>
      </c>
      <c r="G82">
        <v>7500</v>
      </c>
      <c r="H82" t="s">
        <v>13</v>
      </c>
      <c r="I82" t="s">
        <v>14</v>
      </c>
    </row>
    <row r="83" spans="1:9" x14ac:dyDescent="0.35">
      <c r="A83" t="s">
        <v>217</v>
      </c>
      <c r="B83" t="s">
        <v>218</v>
      </c>
      <c r="C83" t="s">
        <v>28</v>
      </c>
      <c r="D83" t="s">
        <v>29</v>
      </c>
      <c r="E83">
        <v>15</v>
      </c>
      <c r="F83">
        <v>1500</v>
      </c>
      <c r="G83">
        <v>22500</v>
      </c>
      <c r="H83" t="s">
        <v>53</v>
      </c>
      <c r="I83" t="s">
        <v>66</v>
      </c>
    </row>
    <row r="84" spans="1:9" x14ac:dyDescent="0.35">
      <c r="A84" t="s">
        <v>219</v>
      </c>
      <c r="B84" t="s">
        <v>220</v>
      </c>
      <c r="C84" t="s">
        <v>11</v>
      </c>
      <c r="D84" t="s">
        <v>12</v>
      </c>
      <c r="E84">
        <v>8</v>
      </c>
      <c r="F84" t="s">
        <v>46</v>
      </c>
      <c r="H84" t="s">
        <v>103</v>
      </c>
      <c r="I84" t="s">
        <v>63</v>
      </c>
    </row>
    <row r="85" spans="1:9" x14ac:dyDescent="0.35">
      <c r="A85" t="s">
        <v>221</v>
      </c>
      <c r="B85" t="s">
        <v>222</v>
      </c>
      <c r="C85" t="s">
        <v>21</v>
      </c>
      <c r="D85" t="s">
        <v>22</v>
      </c>
      <c r="E85">
        <v>5</v>
      </c>
      <c r="F85">
        <v>1000</v>
      </c>
      <c r="G85">
        <v>5000</v>
      </c>
      <c r="H85" t="s">
        <v>18</v>
      </c>
      <c r="I85" t="s">
        <v>25</v>
      </c>
    </row>
    <row r="86" spans="1:9" x14ac:dyDescent="0.35">
      <c r="A86" t="s">
        <v>223</v>
      </c>
      <c r="B86" t="s">
        <v>224</v>
      </c>
      <c r="C86" t="s">
        <v>28</v>
      </c>
      <c r="D86" t="s">
        <v>29</v>
      </c>
      <c r="E86">
        <v>10</v>
      </c>
      <c r="F86">
        <v>1500</v>
      </c>
      <c r="G86">
        <v>15000</v>
      </c>
      <c r="H86" t="s">
        <v>103</v>
      </c>
      <c r="I86" t="s">
        <v>63</v>
      </c>
    </row>
    <row r="87" spans="1:9" x14ac:dyDescent="0.35">
      <c r="A87" t="s">
        <v>225</v>
      </c>
      <c r="B87" t="s">
        <v>226</v>
      </c>
      <c r="C87" t="s">
        <v>37</v>
      </c>
      <c r="D87" t="s">
        <v>38</v>
      </c>
      <c r="E87">
        <v>7</v>
      </c>
      <c r="F87">
        <v>2000</v>
      </c>
      <c r="G87">
        <v>14000</v>
      </c>
      <c r="H87" t="s">
        <v>39</v>
      </c>
      <c r="I87" t="s">
        <v>40</v>
      </c>
    </row>
    <row r="88" spans="1:9" x14ac:dyDescent="0.35">
      <c r="A88" t="s">
        <v>227</v>
      </c>
      <c r="B88" t="s">
        <v>228</v>
      </c>
      <c r="C88" t="s">
        <v>60</v>
      </c>
      <c r="D88" t="s">
        <v>38</v>
      </c>
      <c r="E88">
        <v>9</v>
      </c>
      <c r="F88">
        <v>2000</v>
      </c>
      <c r="G88">
        <v>18000</v>
      </c>
      <c r="H88" t="s">
        <v>30</v>
      </c>
      <c r="I88" t="s">
        <v>73</v>
      </c>
    </row>
    <row r="89" spans="1:9" x14ac:dyDescent="0.35">
      <c r="A89" t="s">
        <v>229</v>
      </c>
      <c r="B89" t="s">
        <v>230</v>
      </c>
      <c r="C89" t="s">
        <v>50</v>
      </c>
      <c r="D89" t="s">
        <v>12</v>
      </c>
      <c r="E89">
        <v>11</v>
      </c>
      <c r="F89">
        <v>2500</v>
      </c>
      <c r="G89">
        <v>27500</v>
      </c>
      <c r="H89" t="s">
        <v>18</v>
      </c>
      <c r="I89" t="s">
        <v>107</v>
      </c>
    </row>
    <row r="90" spans="1:9" x14ac:dyDescent="0.35">
      <c r="A90" t="s">
        <v>231</v>
      </c>
      <c r="B90" t="s">
        <v>232</v>
      </c>
      <c r="C90" t="s">
        <v>60</v>
      </c>
      <c r="D90" t="s">
        <v>38</v>
      </c>
      <c r="E90">
        <v>9</v>
      </c>
      <c r="F90">
        <v>2000</v>
      </c>
      <c r="G90">
        <v>18000</v>
      </c>
      <c r="H90" t="s">
        <v>43</v>
      </c>
      <c r="I90" t="s">
        <v>66</v>
      </c>
    </row>
    <row r="91" spans="1:9" x14ac:dyDescent="0.35">
      <c r="A91" t="s">
        <v>233</v>
      </c>
      <c r="B91" t="s">
        <v>234</v>
      </c>
      <c r="C91" t="s">
        <v>21</v>
      </c>
      <c r="D91" t="s">
        <v>22</v>
      </c>
      <c r="E91">
        <v>10</v>
      </c>
      <c r="F91">
        <v>1000</v>
      </c>
      <c r="G91">
        <v>10000</v>
      </c>
      <c r="H91" t="s">
        <v>79</v>
      </c>
      <c r="I91" t="s">
        <v>76</v>
      </c>
    </row>
    <row r="92" spans="1:9" x14ac:dyDescent="0.35">
      <c r="A92" t="s">
        <v>235</v>
      </c>
      <c r="B92" t="s">
        <v>236</v>
      </c>
      <c r="C92" t="s">
        <v>34</v>
      </c>
      <c r="D92" t="s">
        <v>29</v>
      </c>
      <c r="E92">
        <v>10</v>
      </c>
      <c r="F92">
        <v>5500</v>
      </c>
      <c r="G92">
        <v>55000</v>
      </c>
      <c r="H92" t="s">
        <v>13</v>
      </c>
      <c r="I92" t="s">
        <v>54</v>
      </c>
    </row>
    <row r="93" spans="1:9" x14ac:dyDescent="0.35">
      <c r="A93" t="s">
        <v>237</v>
      </c>
      <c r="B93" t="s">
        <v>238</v>
      </c>
      <c r="C93" t="s">
        <v>34</v>
      </c>
      <c r="D93" t="s">
        <v>29</v>
      </c>
      <c r="E93">
        <v>8</v>
      </c>
      <c r="F93">
        <v>5500</v>
      </c>
      <c r="G93">
        <v>44000</v>
      </c>
      <c r="H93" t="s">
        <v>239</v>
      </c>
      <c r="I93" t="s">
        <v>40</v>
      </c>
    </row>
    <row r="94" spans="1:9" x14ac:dyDescent="0.35">
      <c r="A94" t="s">
        <v>240</v>
      </c>
      <c r="B94" t="s">
        <v>241</v>
      </c>
      <c r="C94" t="s">
        <v>60</v>
      </c>
      <c r="D94" t="s">
        <v>38</v>
      </c>
      <c r="E94">
        <v>14</v>
      </c>
      <c r="F94">
        <v>2000</v>
      </c>
      <c r="G94">
        <v>28000</v>
      </c>
      <c r="H94" t="s">
        <v>53</v>
      </c>
      <c r="I94" t="s">
        <v>25</v>
      </c>
    </row>
    <row r="95" spans="1:9" x14ac:dyDescent="0.35">
      <c r="A95" t="s">
        <v>242</v>
      </c>
      <c r="B95" t="s">
        <v>243</v>
      </c>
      <c r="C95" t="s">
        <v>21</v>
      </c>
      <c r="D95" t="s">
        <v>22</v>
      </c>
      <c r="E95">
        <v>8</v>
      </c>
      <c r="F95">
        <v>1000</v>
      </c>
      <c r="G95">
        <v>8000</v>
      </c>
      <c r="H95" t="s">
        <v>72</v>
      </c>
    </row>
    <row r="96" spans="1:9" x14ac:dyDescent="0.35">
      <c r="A96" t="s">
        <v>244</v>
      </c>
      <c r="B96" t="s">
        <v>245</v>
      </c>
      <c r="C96" t="s">
        <v>50</v>
      </c>
      <c r="D96" t="s">
        <v>12</v>
      </c>
      <c r="E96">
        <v>7</v>
      </c>
      <c r="F96">
        <v>2500</v>
      </c>
      <c r="G96">
        <v>17500</v>
      </c>
      <c r="H96" t="s">
        <v>47</v>
      </c>
      <c r="I96" t="s">
        <v>31</v>
      </c>
    </row>
    <row r="97" spans="1:9" x14ac:dyDescent="0.35">
      <c r="A97" t="s">
        <v>246</v>
      </c>
      <c r="B97" t="s">
        <v>247</v>
      </c>
      <c r="C97" t="s">
        <v>60</v>
      </c>
      <c r="D97" t="s">
        <v>38</v>
      </c>
      <c r="E97">
        <v>11</v>
      </c>
      <c r="F97">
        <v>2000</v>
      </c>
      <c r="G97">
        <v>22000</v>
      </c>
      <c r="H97" t="s">
        <v>103</v>
      </c>
      <c r="I97" t="s">
        <v>54</v>
      </c>
    </row>
    <row r="98" spans="1:9" x14ac:dyDescent="0.35">
      <c r="A98" t="s">
        <v>248</v>
      </c>
      <c r="B98" t="s">
        <v>249</v>
      </c>
      <c r="C98" t="s">
        <v>60</v>
      </c>
      <c r="D98" t="s">
        <v>38</v>
      </c>
      <c r="E98">
        <v>14</v>
      </c>
      <c r="F98">
        <v>2000</v>
      </c>
      <c r="G98">
        <v>28000</v>
      </c>
      <c r="H98" t="s">
        <v>250</v>
      </c>
      <c r="I98" t="s">
        <v>63</v>
      </c>
    </row>
    <row r="99" spans="1:9" x14ac:dyDescent="0.35">
      <c r="A99" t="s">
        <v>251</v>
      </c>
      <c r="B99" t="s">
        <v>252</v>
      </c>
      <c r="C99" t="s">
        <v>17</v>
      </c>
      <c r="D99" t="s">
        <v>12</v>
      </c>
      <c r="E99">
        <v>2</v>
      </c>
      <c r="F99">
        <v>3000</v>
      </c>
      <c r="G99">
        <v>6000</v>
      </c>
      <c r="H99" t="s">
        <v>43</v>
      </c>
      <c r="I99" t="s">
        <v>54</v>
      </c>
    </row>
    <row r="100" spans="1:9" x14ac:dyDescent="0.35">
      <c r="A100" t="s">
        <v>253</v>
      </c>
      <c r="B100" t="s">
        <v>254</v>
      </c>
      <c r="C100" t="s">
        <v>28</v>
      </c>
      <c r="D100" t="s">
        <v>29</v>
      </c>
      <c r="E100">
        <v>5</v>
      </c>
      <c r="F100">
        <v>1500</v>
      </c>
      <c r="G100">
        <v>7500</v>
      </c>
      <c r="H100" t="s">
        <v>39</v>
      </c>
      <c r="I100" t="s">
        <v>107</v>
      </c>
    </row>
    <row r="101" spans="1:9" x14ac:dyDescent="0.35">
      <c r="A101" t="s">
        <v>255</v>
      </c>
      <c r="B101" t="s">
        <v>256</v>
      </c>
      <c r="C101" t="s">
        <v>257</v>
      </c>
      <c r="D101" t="s">
        <v>90</v>
      </c>
      <c r="E101">
        <v>-3</v>
      </c>
      <c r="F101">
        <v>1200</v>
      </c>
      <c r="G101">
        <v>12000</v>
      </c>
      <c r="H101" t="s">
        <v>250</v>
      </c>
      <c r="I101" t="s">
        <v>54</v>
      </c>
    </row>
    <row r="102" spans="1:9" x14ac:dyDescent="0.35">
      <c r="A102" t="s">
        <v>258</v>
      </c>
      <c r="B102" t="s">
        <v>259</v>
      </c>
      <c r="C102" t="s">
        <v>17</v>
      </c>
      <c r="D102" t="s">
        <v>12</v>
      </c>
      <c r="E102">
        <v>-1</v>
      </c>
      <c r="F102">
        <v>3000</v>
      </c>
      <c r="G102">
        <v>6000</v>
      </c>
      <c r="H102" t="s">
        <v>72</v>
      </c>
      <c r="I102" t="s">
        <v>14</v>
      </c>
    </row>
    <row r="103" spans="1:9" x14ac:dyDescent="0.35">
      <c r="A103" t="s">
        <v>260</v>
      </c>
      <c r="B103" t="s">
        <v>261</v>
      </c>
      <c r="C103" t="s">
        <v>89</v>
      </c>
      <c r="D103" t="s">
        <v>90</v>
      </c>
      <c r="E103">
        <v>2</v>
      </c>
      <c r="F103">
        <v>1200</v>
      </c>
      <c r="G103">
        <v>2400</v>
      </c>
      <c r="H103" t="s">
        <v>103</v>
      </c>
      <c r="I103" t="s">
        <v>40</v>
      </c>
    </row>
    <row r="104" spans="1:9" x14ac:dyDescent="0.35">
      <c r="A104" t="s">
        <v>262</v>
      </c>
      <c r="B104" t="s">
        <v>263</v>
      </c>
      <c r="C104" t="s">
        <v>11</v>
      </c>
      <c r="D104" t="s">
        <v>12</v>
      </c>
      <c r="E104">
        <v>13</v>
      </c>
      <c r="F104" t="s">
        <v>46</v>
      </c>
      <c r="G104">
        <v>23400</v>
      </c>
      <c r="H104" t="s">
        <v>13</v>
      </c>
    </row>
    <row r="105" spans="1:9" x14ac:dyDescent="0.35">
      <c r="A105" t="s">
        <v>264</v>
      </c>
      <c r="B105" t="s">
        <v>265</v>
      </c>
      <c r="C105" t="s">
        <v>17</v>
      </c>
      <c r="D105" t="s">
        <v>12</v>
      </c>
      <c r="E105">
        <v>14</v>
      </c>
      <c r="F105">
        <v>3000</v>
      </c>
      <c r="G105">
        <v>42000</v>
      </c>
      <c r="H105" t="s">
        <v>13</v>
      </c>
      <c r="I105" t="s">
        <v>40</v>
      </c>
    </row>
    <row r="106" spans="1:9" x14ac:dyDescent="0.35">
      <c r="A106" t="s">
        <v>266</v>
      </c>
      <c r="B106" t="s">
        <v>267</v>
      </c>
      <c r="C106" t="s">
        <v>11</v>
      </c>
      <c r="D106" t="s">
        <v>12</v>
      </c>
      <c r="E106">
        <v>12</v>
      </c>
      <c r="F106">
        <v>1800</v>
      </c>
      <c r="H106" t="s">
        <v>39</v>
      </c>
      <c r="I106" t="s">
        <v>31</v>
      </c>
    </row>
    <row r="107" spans="1:9" x14ac:dyDescent="0.35">
      <c r="A107" t="s">
        <v>268</v>
      </c>
      <c r="B107" t="s">
        <v>269</v>
      </c>
      <c r="C107" t="s">
        <v>89</v>
      </c>
      <c r="D107" t="s">
        <v>90</v>
      </c>
      <c r="E107">
        <v>12</v>
      </c>
      <c r="F107">
        <v>1200</v>
      </c>
      <c r="G107">
        <v>14400</v>
      </c>
      <c r="H107" t="s">
        <v>79</v>
      </c>
      <c r="I107" t="s">
        <v>63</v>
      </c>
    </row>
    <row r="108" spans="1:9" x14ac:dyDescent="0.35">
      <c r="A108" t="s">
        <v>270</v>
      </c>
      <c r="B108" t="s">
        <v>271</v>
      </c>
      <c r="C108" t="s">
        <v>28</v>
      </c>
      <c r="D108" t="s">
        <v>29</v>
      </c>
      <c r="E108">
        <v>7</v>
      </c>
      <c r="F108">
        <v>1500</v>
      </c>
      <c r="G108">
        <v>10500</v>
      </c>
      <c r="H108" t="s">
        <v>24</v>
      </c>
      <c r="I108" t="s">
        <v>40</v>
      </c>
    </row>
    <row r="109" spans="1:9" x14ac:dyDescent="0.35">
      <c r="A109" t="s">
        <v>272</v>
      </c>
      <c r="B109" t="s">
        <v>273</v>
      </c>
      <c r="C109" t="s">
        <v>34</v>
      </c>
      <c r="D109" t="s">
        <v>29</v>
      </c>
      <c r="E109">
        <v>11</v>
      </c>
      <c r="F109">
        <v>5500</v>
      </c>
      <c r="G109">
        <v>60500</v>
      </c>
      <c r="H109" t="s">
        <v>18</v>
      </c>
      <c r="I109" t="s">
        <v>76</v>
      </c>
    </row>
    <row r="110" spans="1:9" x14ac:dyDescent="0.35">
      <c r="A110" t="s">
        <v>274</v>
      </c>
      <c r="B110" t="s">
        <v>275</v>
      </c>
      <c r="C110" t="s">
        <v>17</v>
      </c>
      <c r="D110" t="s">
        <v>12</v>
      </c>
      <c r="E110">
        <v>3</v>
      </c>
      <c r="F110">
        <v>3000</v>
      </c>
      <c r="G110">
        <v>9000</v>
      </c>
      <c r="H110" t="s">
        <v>79</v>
      </c>
      <c r="I110" t="s">
        <v>14</v>
      </c>
    </row>
    <row r="111" spans="1:9" x14ac:dyDescent="0.35">
      <c r="A111" t="s">
        <v>276</v>
      </c>
      <c r="B111" t="s">
        <v>277</v>
      </c>
      <c r="C111" t="s">
        <v>34</v>
      </c>
      <c r="D111" t="s">
        <v>29</v>
      </c>
      <c r="E111">
        <v>8</v>
      </c>
      <c r="F111">
        <v>5500</v>
      </c>
      <c r="G111">
        <v>44000</v>
      </c>
      <c r="H111" t="s">
        <v>72</v>
      </c>
      <c r="I111" t="s">
        <v>54</v>
      </c>
    </row>
    <row r="112" spans="1:9" x14ac:dyDescent="0.35">
      <c r="A112" t="s">
        <v>278</v>
      </c>
      <c r="B112" t="s">
        <v>279</v>
      </c>
      <c r="C112" t="s">
        <v>21</v>
      </c>
      <c r="D112" t="s">
        <v>22</v>
      </c>
      <c r="F112">
        <v>1000</v>
      </c>
      <c r="G112">
        <v>15000</v>
      </c>
      <c r="H112" t="s">
        <v>30</v>
      </c>
      <c r="I112" t="s">
        <v>76</v>
      </c>
    </row>
    <row r="113" spans="1:9" x14ac:dyDescent="0.35">
      <c r="A113" t="s">
        <v>280</v>
      </c>
      <c r="B113" t="s">
        <v>281</v>
      </c>
      <c r="C113" t="s">
        <v>50</v>
      </c>
      <c r="D113" t="s">
        <v>12</v>
      </c>
      <c r="E113">
        <v>3</v>
      </c>
      <c r="F113">
        <v>2500</v>
      </c>
      <c r="G113">
        <v>7500</v>
      </c>
      <c r="H113" t="s">
        <v>18</v>
      </c>
      <c r="I113" t="s">
        <v>54</v>
      </c>
    </row>
    <row r="114" spans="1:9" x14ac:dyDescent="0.35">
      <c r="A114" t="s">
        <v>282</v>
      </c>
      <c r="B114" t="s">
        <v>283</v>
      </c>
      <c r="C114" t="s">
        <v>11</v>
      </c>
      <c r="D114" t="s">
        <v>12</v>
      </c>
      <c r="E114">
        <v>15</v>
      </c>
      <c r="F114">
        <v>1800</v>
      </c>
      <c r="G114">
        <v>27000</v>
      </c>
      <c r="H114" t="s">
        <v>123</v>
      </c>
      <c r="I114" t="s">
        <v>76</v>
      </c>
    </row>
    <row r="115" spans="1:9" x14ac:dyDescent="0.35">
      <c r="B115" t="s">
        <v>284</v>
      </c>
      <c r="C115" t="s">
        <v>28</v>
      </c>
      <c r="D115" t="s">
        <v>29</v>
      </c>
      <c r="E115">
        <v>4</v>
      </c>
      <c r="F115">
        <v>1500</v>
      </c>
      <c r="G115">
        <v>6000</v>
      </c>
      <c r="H115" t="s">
        <v>47</v>
      </c>
      <c r="I115" t="s">
        <v>66</v>
      </c>
    </row>
    <row r="116" spans="1:9" x14ac:dyDescent="0.35">
      <c r="A116" t="s">
        <v>285</v>
      </c>
      <c r="B116" t="s">
        <v>286</v>
      </c>
      <c r="C116" t="s">
        <v>21</v>
      </c>
      <c r="D116" t="s">
        <v>22</v>
      </c>
      <c r="E116">
        <v>1</v>
      </c>
      <c r="F116">
        <v>1000</v>
      </c>
      <c r="G116">
        <v>1000</v>
      </c>
      <c r="H116" t="s">
        <v>103</v>
      </c>
      <c r="I116" t="s">
        <v>63</v>
      </c>
    </row>
    <row r="117" spans="1:9" x14ac:dyDescent="0.35">
      <c r="A117" t="s">
        <v>287</v>
      </c>
      <c r="B117" t="s">
        <v>288</v>
      </c>
      <c r="C117" t="s">
        <v>17</v>
      </c>
      <c r="D117" t="s">
        <v>112</v>
      </c>
      <c r="E117">
        <v>1</v>
      </c>
      <c r="F117">
        <v>3000</v>
      </c>
      <c r="G117">
        <v>3000</v>
      </c>
      <c r="H117" t="s">
        <v>39</v>
      </c>
      <c r="I117" t="s">
        <v>25</v>
      </c>
    </row>
    <row r="118" spans="1:9" x14ac:dyDescent="0.35">
      <c r="A118" t="s">
        <v>289</v>
      </c>
      <c r="B118" t="s">
        <v>290</v>
      </c>
      <c r="C118" t="s">
        <v>21</v>
      </c>
      <c r="D118" t="s">
        <v>22</v>
      </c>
      <c r="E118">
        <v>6</v>
      </c>
      <c r="F118">
        <v>1000</v>
      </c>
      <c r="H118" t="s">
        <v>30</v>
      </c>
      <c r="I118" t="s">
        <v>63</v>
      </c>
    </row>
    <row r="119" spans="1:9" x14ac:dyDescent="0.35">
      <c r="A119" t="s">
        <v>291</v>
      </c>
      <c r="B119" t="s">
        <v>292</v>
      </c>
      <c r="C119" t="s">
        <v>17</v>
      </c>
      <c r="D119" t="s">
        <v>12</v>
      </c>
      <c r="E119">
        <v>13</v>
      </c>
      <c r="F119">
        <v>3000</v>
      </c>
      <c r="G119">
        <v>39000</v>
      </c>
      <c r="H119" t="s">
        <v>293</v>
      </c>
      <c r="I119" t="s">
        <v>76</v>
      </c>
    </row>
    <row r="120" spans="1:9" x14ac:dyDescent="0.35">
      <c r="A120" t="s">
        <v>294</v>
      </c>
      <c r="B120" t="s">
        <v>295</v>
      </c>
      <c r="C120" t="s">
        <v>50</v>
      </c>
      <c r="D120" t="s">
        <v>12</v>
      </c>
      <c r="E120">
        <v>12</v>
      </c>
      <c r="F120">
        <v>2500</v>
      </c>
      <c r="H120" t="s">
        <v>47</v>
      </c>
      <c r="I120" t="s">
        <v>66</v>
      </c>
    </row>
    <row r="121" spans="1:9" x14ac:dyDescent="0.35">
      <c r="A121" t="s">
        <v>296</v>
      </c>
      <c r="B121" t="s">
        <v>297</v>
      </c>
      <c r="C121" t="s">
        <v>50</v>
      </c>
      <c r="D121" t="s">
        <v>12</v>
      </c>
      <c r="E121">
        <v>9</v>
      </c>
      <c r="F121" t="s">
        <v>298</v>
      </c>
      <c r="G121">
        <v>22500</v>
      </c>
      <c r="H121" t="s">
        <v>103</v>
      </c>
      <c r="I121" t="s">
        <v>73</v>
      </c>
    </row>
    <row r="122" spans="1:9" x14ac:dyDescent="0.35">
      <c r="A122" t="s">
        <v>299</v>
      </c>
      <c r="B122" t="s">
        <v>300</v>
      </c>
      <c r="C122" t="s">
        <v>17</v>
      </c>
      <c r="D122" t="s">
        <v>12</v>
      </c>
      <c r="E122">
        <v>13</v>
      </c>
      <c r="F122">
        <v>3000</v>
      </c>
      <c r="G122">
        <v>39000</v>
      </c>
      <c r="H122" t="s">
        <v>43</v>
      </c>
      <c r="I122" t="s">
        <v>63</v>
      </c>
    </row>
    <row r="123" spans="1:9" x14ac:dyDescent="0.35">
      <c r="A123" t="s">
        <v>301</v>
      </c>
      <c r="B123" t="s">
        <v>302</v>
      </c>
      <c r="C123" t="s">
        <v>89</v>
      </c>
      <c r="D123" t="s">
        <v>90</v>
      </c>
      <c r="E123">
        <v>3</v>
      </c>
      <c r="F123">
        <v>1200</v>
      </c>
      <c r="G123">
        <v>3600</v>
      </c>
      <c r="H123" t="s">
        <v>103</v>
      </c>
      <c r="I123" t="s">
        <v>107</v>
      </c>
    </row>
    <row r="124" spans="1:9" x14ac:dyDescent="0.35">
      <c r="A124" t="s">
        <v>303</v>
      </c>
      <c r="B124" t="s">
        <v>304</v>
      </c>
      <c r="C124" t="s">
        <v>50</v>
      </c>
      <c r="D124" t="s">
        <v>12</v>
      </c>
      <c r="E124">
        <v>5</v>
      </c>
      <c r="F124">
        <v>2500</v>
      </c>
      <c r="G124">
        <v>12500</v>
      </c>
      <c r="H124" t="s">
        <v>53</v>
      </c>
    </row>
    <row r="125" spans="1:9" x14ac:dyDescent="0.35">
      <c r="A125" t="s">
        <v>305</v>
      </c>
      <c r="B125" t="s">
        <v>306</v>
      </c>
      <c r="C125" t="s">
        <v>21</v>
      </c>
      <c r="D125" t="s">
        <v>22</v>
      </c>
      <c r="E125">
        <v>6</v>
      </c>
      <c r="F125">
        <v>1000</v>
      </c>
      <c r="G125">
        <v>6000</v>
      </c>
      <c r="H125" t="s">
        <v>18</v>
      </c>
      <c r="I125" t="s">
        <v>66</v>
      </c>
    </row>
    <row r="126" spans="1:9" x14ac:dyDescent="0.35">
      <c r="A126" t="s">
        <v>307</v>
      </c>
      <c r="B126" t="s">
        <v>308</v>
      </c>
      <c r="C126" t="s">
        <v>34</v>
      </c>
      <c r="D126" t="s">
        <v>29</v>
      </c>
      <c r="E126">
        <v>3</v>
      </c>
      <c r="F126">
        <v>5500</v>
      </c>
      <c r="G126">
        <v>16500</v>
      </c>
      <c r="H126" t="s">
        <v>13</v>
      </c>
      <c r="I126" t="s">
        <v>73</v>
      </c>
    </row>
    <row r="127" spans="1:9" x14ac:dyDescent="0.35">
      <c r="A127" t="s">
        <v>309</v>
      </c>
      <c r="B127" t="s">
        <v>310</v>
      </c>
      <c r="C127" t="s">
        <v>11</v>
      </c>
      <c r="D127" t="s">
        <v>12</v>
      </c>
      <c r="E127">
        <v>4</v>
      </c>
      <c r="F127">
        <v>1800</v>
      </c>
      <c r="G127">
        <v>7200</v>
      </c>
      <c r="H127" t="s">
        <v>24</v>
      </c>
      <c r="I127" t="s">
        <v>76</v>
      </c>
    </row>
    <row r="128" spans="1:9" x14ac:dyDescent="0.35">
      <c r="A128" t="s">
        <v>311</v>
      </c>
      <c r="B128" t="s">
        <v>312</v>
      </c>
      <c r="C128" t="s">
        <v>21</v>
      </c>
      <c r="D128" t="s">
        <v>22</v>
      </c>
      <c r="E128">
        <v>8</v>
      </c>
      <c r="F128">
        <v>1000</v>
      </c>
      <c r="G128">
        <v>8000</v>
      </c>
      <c r="H128" t="s">
        <v>39</v>
      </c>
      <c r="I128" t="s">
        <v>25</v>
      </c>
    </row>
    <row r="129" spans="1:9" x14ac:dyDescent="0.35">
      <c r="A129" t="s">
        <v>313</v>
      </c>
      <c r="B129" t="s">
        <v>314</v>
      </c>
      <c r="C129" t="s">
        <v>315</v>
      </c>
      <c r="D129" t="s">
        <v>12</v>
      </c>
      <c r="E129">
        <v>13</v>
      </c>
      <c r="F129" t="s">
        <v>46</v>
      </c>
      <c r="G129">
        <v>23400</v>
      </c>
      <c r="H129" t="s">
        <v>39</v>
      </c>
      <c r="I129" t="s">
        <v>54</v>
      </c>
    </row>
    <row r="130" spans="1:9" x14ac:dyDescent="0.35">
      <c r="A130" t="s">
        <v>316</v>
      </c>
      <c r="B130" t="s">
        <v>317</v>
      </c>
      <c r="C130" t="s">
        <v>50</v>
      </c>
      <c r="D130" t="s">
        <v>12</v>
      </c>
      <c r="E130">
        <v>1</v>
      </c>
      <c r="F130">
        <v>2500</v>
      </c>
      <c r="G130">
        <v>2500</v>
      </c>
      <c r="H130" t="s">
        <v>123</v>
      </c>
      <c r="I130" t="s">
        <v>54</v>
      </c>
    </row>
    <row r="131" spans="1:9" x14ac:dyDescent="0.35">
      <c r="A131" t="s">
        <v>318</v>
      </c>
      <c r="B131" t="s">
        <v>319</v>
      </c>
      <c r="C131" t="s">
        <v>11</v>
      </c>
      <c r="D131" t="s">
        <v>12</v>
      </c>
      <c r="E131">
        <v>10</v>
      </c>
      <c r="F131">
        <v>1800</v>
      </c>
      <c r="G131">
        <v>18000</v>
      </c>
      <c r="H131" t="s">
        <v>18</v>
      </c>
      <c r="I131" t="s">
        <v>66</v>
      </c>
    </row>
    <row r="132" spans="1:9" x14ac:dyDescent="0.35">
      <c r="A132" t="s">
        <v>320</v>
      </c>
      <c r="B132" t="s">
        <v>321</v>
      </c>
      <c r="C132" t="s">
        <v>50</v>
      </c>
      <c r="D132" t="s">
        <v>12</v>
      </c>
      <c r="E132">
        <v>11</v>
      </c>
      <c r="F132">
        <v>2500</v>
      </c>
      <c r="G132">
        <v>27500</v>
      </c>
      <c r="H132" t="s">
        <v>24</v>
      </c>
      <c r="I132" t="s">
        <v>76</v>
      </c>
    </row>
    <row r="133" spans="1:9" x14ac:dyDescent="0.35">
      <c r="A133" t="s">
        <v>322</v>
      </c>
      <c r="B133" t="s">
        <v>323</v>
      </c>
      <c r="C133" t="s">
        <v>60</v>
      </c>
      <c r="D133" t="s">
        <v>38</v>
      </c>
      <c r="E133">
        <v>2</v>
      </c>
      <c r="F133">
        <v>2000</v>
      </c>
      <c r="G133">
        <v>4000</v>
      </c>
      <c r="H133" t="s">
        <v>30</v>
      </c>
      <c r="I133" t="s">
        <v>66</v>
      </c>
    </row>
    <row r="134" spans="1:9" x14ac:dyDescent="0.35">
      <c r="A134" t="s">
        <v>324</v>
      </c>
      <c r="B134" t="s">
        <v>325</v>
      </c>
      <c r="C134" t="s">
        <v>50</v>
      </c>
      <c r="D134" t="s">
        <v>12</v>
      </c>
      <c r="E134">
        <v>1</v>
      </c>
      <c r="F134">
        <v>2500</v>
      </c>
      <c r="G134">
        <v>2500</v>
      </c>
      <c r="H134" t="s">
        <v>53</v>
      </c>
    </row>
    <row r="135" spans="1:9" x14ac:dyDescent="0.35">
      <c r="A135" t="s">
        <v>326</v>
      </c>
      <c r="B135" t="s">
        <v>327</v>
      </c>
      <c r="C135" t="s">
        <v>11</v>
      </c>
      <c r="D135" t="s">
        <v>12</v>
      </c>
      <c r="E135">
        <v>9</v>
      </c>
      <c r="F135">
        <v>1800</v>
      </c>
      <c r="G135">
        <v>16200</v>
      </c>
      <c r="H135" t="s">
        <v>47</v>
      </c>
      <c r="I135" t="s">
        <v>73</v>
      </c>
    </row>
    <row r="136" spans="1:9" x14ac:dyDescent="0.35">
      <c r="A136" t="s">
        <v>328</v>
      </c>
      <c r="B136" t="s">
        <v>329</v>
      </c>
      <c r="C136" t="s">
        <v>60</v>
      </c>
      <c r="D136" t="s">
        <v>38</v>
      </c>
      <c r="E136">
        <v>3</v>
      </c>
      <c r="F136">
        <v>2000</v>
      </c>
      <c r="G136">
        <v>6000</v>
      </c>
      <c r="H136" t="s">
        <v>53</v>
      </c>
      <c r="I136" t="s">
        <v>14</v>
      </c>
    </row>
    <row r="137" spans="1:9" x14ac:dyDescent="0.35">
      <c r="A137" t="s">
        <v>330</v>
      </c>
      <c r="B137" t="s">
        <v>331</v>
      </c>
      <c r="C137" t="s">
        <v>89</v>
      </c>
      <c r="D137" t="s">
        <v>90</v>
      </c>
      <c r="F137">
        <v>1200</v>
      </c>
      <c r="G137">
        <v>16800</v>
      </c>
      <c r="H137" t="s">
        <v>47</v>
      </c>
      <c r="I137" t="s">
        <v>107</v>
      </c>
    </row>
    <row r="138" spans="1:9" x14ac:dyDescent="0.35">
      <c r="A138" t="s">
        <v>332</v>
      </c>
      <c r="B138" t="s">
        <v>333</v>
      </c>
      <c r="C138" t="s">
        <v>17</v>
      </c>
      <c r="D138" t="s">
        <v>12</v>
      </c>
      <c r="E138">
        <v>10</v>
      </c>
      <c r="F138">
        <v>3000</v>
      </c>
      <c r="G138">
        <v>30000</v>
      </c>
      <c r="H138" t="s">
        <v>18</v>
      </c>
      <c r="I138" t="s">
        <v>54</v>
      </c>
    </row>
    <row r="139" spans="1:9" x14ac:dyDescent="0.35">
      <c r="A139" t="s">
        <v>334</v>
      </c>
      <c r="B139" t="s">
        <v>335</v>
      </c>
      <c r="C139" t="s">
        <v>34</v>
      </c>
      <c r="D139" t="s">
        <v>29</v>
      </c>
      <c r="E139">
        <v>12</v>
      </c>
      <c r="F139">
        <v>5500</v>
      </c>
      <c r="G139">
        <v>66000</v>
      </c>
      <c r="H139" t="s">
        <v>39</v>
      </c>
    </row>
    <row r="140" spans="1:9" x14ac:dyDescent="0.35">
      <c r="A140" t="s">
        <v>336</v>
      </c>
      <c r="B140" t="s">
        <v>337</v>
      </c>
      <c r="C140" t="s">
        <v>21</v>
      </c>
      <c r="D140" t="s">
        <v>22</v>
      </c>
      <c r="E140">
        <v>2</v>
      </c>
      <c r="F140" t="s">
        <v>23</v>
      </c>
      <c r="G140">
        <v>2000</v>
      </c>
      <c r="H140" t="s">
        <v>39</v>
      </c>
      <c r="I140" t="s">
        <v>76</v>
      </c>
    </row>
    <row r="141" spans="1:9" x14ac:dyDescent="0.35">
      <c r="A141" t="s">
        <v>338</v>
      </c>
      <c r="B141" t="s">
        <v>339</v>
      </c>
      <c r="C141" t="s">
        <v>17</v>
      </c>
      <c r="D141" t="s">
        <v>12</v>
      </c>
      <c r="E141">
        <v>9</v>
      </c>
      <c r="F141">
        <v>3000</v>
      </c>
      <c r="G141">
        <v>27000</v>
      </c>
      <c r="H141" t="s">
        <v>18</v>
      </c>
      <c r="I141" t="s">
        <v>40</v>
      </c>
    </row>
    <row r="142" spans="1:9" x14ac:dyDescent="0.35">
      <c r="A142" t="s">
        <v>340</v>
      </c>
      <c r="B142" t="s">
        <v>341</v>
      </c>
      <c r="C142" t="s">
        <v>21</v>
      </c>
      <c r="D142" t="s">
        <v>22</v>
      </c>
      <c r="E142">
        <v>5</v>
      </c>
      <c r="F142">
        <v>1000</v>
      </c>
      <c r="G142">
        <v>5000</v>
      </c>
      <c r="H142" t="s">
        <v>103</v>
      </c>
      <c r="I142" t="s">
        <v>14</v>
      </c>
    </row>
    <row r="143" spans="1:9" x14ac:dyDescent="0.35">
      <c r="A143" t="s">
        <v>342</v>
      </c>
      <c r="B143" t="s">
        <v>343</v>
      </c>
      <c r="C143" t="s">
        <v>11</v>
      </c>
      <c r="D143" t="s">
        <v>12</v>
      </c>
      <c r="E143">
        <v>13</v>
      </c>
      <c r="F143">
        <v>1800</v>
      </c>
      <c r="G143">
        <v>23400</v>
      </c>
      <c r="H143" t="s">
        <v>30</v>
      </c>
      <c r="I143" t="s">
        <v>25</v>
      </c>
    </row>
    <row r="144" spans="1:9" x14ac:dyDescent="0.35">
      <c r="A144" t="s">
        <v>344</v>
      </c>
      <c r="B144" t="s">
        <v>345</v>
      </c>
      <c r="C144" t="s">
        <v>34</v>
      </c>
      <c r="D144" t="s">
        <v>29</v>
      </c>
      <c r="E144">
        <v>14</v>
      </c>
      <c r="F144" t="s">
        <v>69</v>
      </c>
      <c r="G144">
        <v>77000</v>
      </c>
      <c r="H144" t="s">
        <v>30</v>
      </c>
      <c r="I144" t="s">
        <v>40</v>
      </c>
    </row>
    <row r="145" spans="1:9" x14ac:dyDescent="0.35">
      <c r="A145" t="s">
        <v>346</v>
      </c>
      <c r="B145" t="s">
        <v>347</v>
      </c>
      <c r="C145" t="s">
        <v>21</v>
      </c>
      <c r="D145" t="s">
        <v>22</v>
      </c>
      <c r="E145">
        <v>6</v>
      </c>
      <c r="F145">
        <v>1000</v>
      </c>
      <c r="G145">
        <v>6000</v>
      </c>
      <c r="H145" t="s">
        <v>18</v>
      </c>
      <c r="I145" t="s">
        <v>107</v>
      </c>
    </row>
    <row r="146" spans="1:9" x14ac:dyDescent="0.35">
      <c r="A146" t="s">
        <v>348</v>
      </c>
      <c r="B146" t="s">
        <v>349</v>
      </c>
      <c r="C146" t="s">
        <v>17</v>
      </c>
      <c r="D146" t="s">
        <v>12</v>
      </c>
      <c r="E146">
        <v>4</v>
      </c>
      <c r="F146">
        <v>3000</v>
      </c>
      <c r="G146">
        <v>12000</v>
      </c>
      <c r="H146" t="s">
        <v>18</v>
      </c>
      <c r="I146" t="s">
        <v>107</v>
      </c>
    </row>
    <row r="147" spans="1:9" x14ac:dyDescent="0.35">
      <c r="A147" t="s">
        <v>350</v>
      </c>
      <c r="B147" t="s">
        <v>351</v>
      </c>
      <c r="C147" t="s">
        <v>60</v>
      </c>
      <c r="D147" t="s">
        <v>38</v>
      </c>
      <c r="E147">
        <v>8</v>
      </c>
      <c r="F147">
        <v>2000</v>
      </c>
      <c r="G147">
        <v>16000</v>
      </c>
      <c r="H147" t="s">
        <v>79</v>
      </c>
      <c r="I147" t="s">
        <v>14</v>
      </c>
    </row>
    <row r="148" spans="1:9" x14ac:dyDescent="0.35">
      <c r="A148" t="s">
        <v>352</v>
      </c>
      <c r="B148" t="s">
        <v>353</v>
      </c>
      <c r="C148" t="s">
        <v>17</v>
      </c>
      <c r="D148" t="s">
        <v>12</v>
      </c>
      <c r="F148">
        <v>3000</v>
      </c>
      <c r="G148">
        <v>18000</v>
      </c>
      <c r="H148" t="s">
        <v>39</v>
      </c>
      <c r="I148" t="s">
        <v>107</v>
      </c>
    </row>
    <row r="149" spans="1:9" x14ac:dyDescent="0.35">
      <c r="A149" t="s">
        <v>354</v>
      </c>
      <c r="B149" t="s">
        <v>355</v>
      </c>
      <c r="C149" t="s">
        <v>28</v>
      </c>
      <c r="D149" t="s">
        <v>29</v>
      </c>
      <c r="E149">
        <v>13</v>
      </c>
      <c r="F149">
        <v>1500</v>
      </c>
      <c r="G149">
        <v>19500</v>
      </c>
      <c r="H149" t="s">
        <v>72</v>
      </c>
      <c r="I149" t="s">
        <v>25</v>
      </c>
    </row>
    <row r="150" spans="1:9" x14ac:dyDescent="0.35">
      <c r="A150" t="s">
        <v>356</v>
      </c>
      <c r="B150" t="s">
        <v>357</v>
      </c>
      <c r="C150" t="s">
        <v>34</v>
      </c>
      <c r="D150" t="s">
        <v>29</v>
      </c>
      <c r="F150">
        <v>5500</v>
      </c>
      <c r="G150">
        <v>60500</v>
      </c>
      <c r="H150" t="s">
        <v>79</v>
      </c>
      <c r="I150" t="s">
        <v>73</v>
      </c>
    </row>
    <row r="151" spans="1:9" x14ac:dyDescent="0.35">
      <c r="A151" t="s">
        <v>358</v>
      </c>
      <c r="B151" t="s">
        <v>359</v>
      </c>
      <c r="C151" t="s">
        <v>17</v>
      </c>
      <c r="D151" t="s">
        <v>12</v>
      </c>
      <c r="E151">
        <v>7</v>
      </c>
      <c r="F151">
        <v>3000</v>
      </c>
      <c r="G151">
        <v>21000</v>
      </c>
      <c r="H151" t="s">
        <v>103</v>
      </c>
      <c r="I151" t="s">
        <v>73</v>
      </c>
    </row>
    <row r="152" spans="1:9" x14ac:dyDescent="0.35">
      <c r="A152" t="s">
        <v>360</v>
      </c>
      <c r="B152" t="s">
        <v>361</v>
      </c>
      <c r="C152" t="s">
        <v>34</v>
      </c>
      <c r="D152" t="s">
        <v>29</v>
      </c>
      <c r="E152">
        <v>11</v>
      </c>
      <c r="F152">
        <v>5500</v>
      </c>
      <c r="G152">
        <v>60500</v>
      </c>
      <c r="H152" t="s">
        <v>39</v>
      </c>
      <c r="I152" t="s">
        <v>31</v>
      </c>
    </row>
    <row r="153" spans="1:9" x14ac:dyDescent="0.35">
      <c r="A153" t="s">
        <v>362</v>
      </c>
      <c r="B153" t="s">
        <v>363</v>
      </c>
      <c r="C153" t="s">
        <v>21</v>
      </c>
      <c r="D153" t="s">
        <v>22</v>
      </c>
      <c r="E153">
        <v>8</v>
      </c>
      <c r="F153">
        <v>1000</v>
      </c>
      <c r="G153">
        <v>8000</v>
      </c>
      <c r="H153" t="s">
        <v>30</v>
      </c>
    </row>
    <row r="154" spans="1:9" x14ac:dyDescent="0.35">
      <c r="B154" t="s">
        <v>364</v>
      </c>
      <c r="C154" t="s">
        <v>17</v>
      </c>
      <c r="D154" t="s">
        <v>12</v>
      </c>
      <c r="E154">
        <v>4</v>
      </c>
      <c r="F154">
        <v>3000</v>
      </c>
      <c r="G154">
        <v>12000</v>
      </c>
      <c r="H154" t="s">
        <v>72</v>
      </c>
      <c r="I154" t="s">
        <v>25</v>
      </c>
    </row>
    <row r="155" spans="1:9" x14ac:dyDescent="0.35">
      <c r="A155" t="s">
        <v>365</v>
      </c>
      <c r="B155" t="s">
        <v>366</v>
      </c>
      <c r="C155" t="s">
        <v>21</v>
      </c>
      <c r="D155" t="s">
        <v>22</v>
      </c>
      <c r="E155">
        <v>13</v>
      </c>
      <c r="F155">
        <v>1000</v>
      </c>
      <c r="G155">
        <v>13000</v>
      </c>
      <c r="H155" t="s">
        <v>43</v>
      </c>
      <c r="I155" t="s">
        <v>107</v>
      </c>
    </row>
    <row r="156" spans="1:9" x14ac:dyDescent="0.35">
      <c r="A156" t="s">
        <v>367</v>
      </c>
      <c r="B156" t="s">
        <v>368</v>
      </c>
      <c r="C156" t="s">
        <v>34</v>
      </c>
      <c r="D156" t="s">
        <v>29</v>
      </c>
      <c r="E156">
        <v>9</v>
      </c>
      <c r="F156">
        <v>5500</v>
      </c>
      <c r="G156">
        <v>49500</v>
      </c>
      <c r="H156" t="s">
        <v>53</v>
      </c>
      <c r="I156" t="s">
        <v>73</v>
      </c>
    </row>
    <row r="157" spans="1:9" x14ac:dyDescent="0.35">
      <c r="A157" t="s">
        <v>369</v>
      </c>
      <c r="B157" t="s">
        <v>370</v>
      </c>
      <c r="C157" t="s">
        <v>17</v>
      </c>
      <c r="D157" t="s">
        <v>112</v>
      </c>
      <c r="E157">
        <v>2</v>
      </c>
      <c r="F157">
        <v>3000</v>
      </c>
      <c r="G157">
        <v>6000</v>
      </c>
      <c r="H157" t="s">
        <v>103</v>
      </c>
      <c r="I157" t="s">
        <v>31</v>
      </c>
    </row>
    <row r="158" spans="1:9" x14ac:dyDescent="0.35">
      <c r="A158" t="s">
        <v>371</v>
      </c>
      <c r="B158" t="s">
        <v>372</v>
      </c>
      <c r="C158" t="s">
        <v>17</v>
      </c>
      <c r="D158" t="s">
        <v>12</v>
      </c>
      <c r="E158">
        <v>2</v>
      </c>
      <c r="F158">
        <v>3000</v>
      </c>
      <c r="G158">
        <v>6000</v>
      </c>
      <c r="H158" t="s">
        <v>30</v>
      </c>
      <c r="I158" t="s">
        <v>73</v>
      </c>
    </row>
    <row r="159" spans="1:9" x14ac:dyDescent="0.35">
      <c r="A159" t="s">
        <v>373</v>
      </c>
      <c r="B159" t="s">
        <v>374</v>
      </c>
      <c r="C159" t="s">
        <v>28</v>
      </c>
      <c r="D159" t="s">
        <v>29</v>
      </c>
      <c r="E159">
        <v>8</v>
      </c>
      <c r="F159">
        <v>1500</v>
      </c>
      <c r="G159">
        <v>12000</v>
      </c>
      <c r="H159" t="s">
        <v>47</v>
      </c>
    </row>
    <row r="160" spans="1:9" x14ac:dyDescent="0.35">
      <c r="A160" t="s">
        <v>375</v>
      </c>
      <c r="B160" t="s">
        <v>376</v>
      </c>
      <c r="C160" t="s">
        <v>11</v>
      </c>
      <c r="D160" t="s">
        <v>12</v>
      </c>
      <c r="E160">
        <v>10</v>
      </c>
      <c r="F160">
        <v>1800</v>
      </c>
      <c r="G160">
        <v>18000</v>
      </c>
      <c r="H160" t="s">
        <v>72</v>
      </c>
      <c r="I160" t="s">
        <v>54</v>
      </c>
    </row>
    <row r="161" spans="1:9" x14ac:dyDescent="0.35">
      <c r="A161" t="s">
        <v>377</v>
      </c>
      <c r="B161" t="s">
        <v>378</v>
      </c>
      <c r="C161" t="s">
        <v>50</v>
      </c>
      <c r="D161" t="s">
        <v>12</v>
      </c>
      <c r="E161">
        <v>9</v>
      </c>
      <c r="F161">
        <v>2500</v>
      </c>
      <c r="G161">
        <v>22500</v>
      </c>
      <c r="H161" t="s">
        <v>72</v>
      </c>
      <c r="I161" t="s">
        <v>25</v>
      </c>
    </row>
    <row r="162" spans="1:9" x14ac:dyDescent="0.35">
      <c r="A162" t="s">
        <v>379</v>
      </c>
      <c r="B162" t="s">
        <v>380</v>
      </c>
      <c r="C162" t="s">
        <v>89</v>
      </c>
      <c r="D162" t="s">
        <v>90</v>
      </c>
      <c r="E162">
        <v>13</v>
      </c>
      <c r="F162">
        <v>1200</v>
      </c>
      <c r="G162">
        <v>15600</v>
      </c>
      <c r="H162" t="s">
        <v>39</v>
      </c>
      <c r="I162" t="s">
        <v>76</v>
      </c>
    </row>
    <row r="163" spans="1:9" x14ac:dyDescent="0.35">
      <c r="B163" t="s">
        <v>381</v>
      </c>
      <c r="C163" t="s">
        <v>17</v>
      </c>
      <c r="D163" t="s">
        <v>12</v>
      </c>
      <c r="F163">
        <v>3000</v>
      </c>
      <c r="G163">
        <v>42000</v>
      </c>
      <c r="H163" t="s">
        <v>103</v>
      </c>
      <c r="I163" t="s">
        <v>14</v>
      </c>
    </row>
    <row r="164" spans="1:9" x14ac:dyDescent="0.35">
      <c r="A164" t="s">
        <v>382</v>
      </c>
      <c r="B164" t="s">
        <v>383</v>
      </c>
      <c r="C164" t="s">
        <v>21</v>
      </c>
      <c r="D164" t="s">
        <v>210</v>
      </c>
      <c r="E164">
        <v>11</v>
      </c>
      <c r="F164">
        <v>1000</v>
      </c>
      <c r="G164">
        <v>11000</v>
      </c>
      <c r="H164" t="s">
        <v>47</v>
      </c>
      <c r="I164" t="s">
        <v>40</v>
      </c>
    </row>
    <row r="165" spans="1:9" x14ac:dyDescent="0.35">
      <c r="A165" t="s">
        <v>384</v>
      </c>
      <c r="B165" t="s">
        <v>385</v>
      </c>
      <c r="C165" t="s">
        <v>17</v>
      </c>
      <c r="D165" t="s">
        <v>12</v>
      </c>
      <c r="E165">
        <v>5</v>
      </c>
      <c r="F165">
        <v>3000</v>
      </c>
      <c r="G165">
        <v>15000</v>
      </c>
      <c r="H165" t="s">
        <v>103</v>
      </c>
      <c r="I165" t="s">
        <v>40</v>
      </c>
    </row>
    <row r="166" spans="1:9" x14ac:dyDescent="0.35">
      <c r="B166" t="s">
        <v>386</v>
      </c>
      <c r="C166" t="s">
        <v>89</v>
      </c>
      <c r="D166" t="s">
        <v>90</v>
      </c>
      <c r="E166">
        <v>7</v>
      </c>
      <c r="F166">
        <v>1200</v>
      </c>
      <c r="G166">
        <v>8400</v>
      </c>
      <c r="H166" t="s">
        <v>47</v>
      </c>
      <c r="I166" t="s">
        <v>107</v>
      </c>
    </row>
    <row r="167" spans="1:9" x14ac:dyDescent="0.35">
      <c r="A167" t="s">
        <v>387</v>
      </c>
      <c r="B167" t="s">
        <v>388</v>
      </c>
      <c r="C167" t="s">
        <v>17</v>
      </c>
      <c r="D167" t="s">
        <v>112</v>
      </c>
      <c r="E167">
        <v>9</v>
      </c>
      <c r="F167">
        <v>3000</v>
      </c>
      <c r="G167">
        <v>27000</v>
      </c>
      <c r="H167" t="s">
        <v>103</v>
      </c>
      <c r="I167" t="s">
        <v>66</v>
      </c>
    </row>
    <row r="168" spans="1:9" x14ac:dyDescent="0.35">
      <c r="A168" t="s">
        <v>389</v>
      </c>
      <c r="B168" t="s">
        <v>390</v>
      </c>
      <c r="C168" t="s">
        <v>28</v>
      </c>
      <c r="D168" t="s">
        <v>29</v>
      </c>
      <c r="E168">
        <v>6</v>
      </c>
      <c r="F168">
        <v>1500</v>
      </c>
      <c r="H168" t="s">
        <v>24</v>
      </c>
      <c r="I168" t="s">
        <v>54</v>
      </c>
    </row>
    <row r="169" spans="1:9" x14ac:dyDescent="0.35">
      <c r="A169" t="s">
        <v>391</v>
      </c>
      <c r="B169" t="s">
        <v>392</v>
      </c>
      <c r="C169" t="s">
        <v>34</v>
      </c>
      <c r="D169" t="s">
        <v>29</v>
      </c>
      <c r="E169">
        <v>12</v>
      </c>
      <c r="F169">
        <v>5500</v>
      </c>
      <c r="G169">
        <v>66000</v>
      </c>
      <c r="H169" t="s">
        <v>103</v>
      </c>
      <c r="I169" t="s">
        <v>14</v>
      </c>
    </row>
    <row r="170" spans="1:9" x14ac:dyDescent="0.35">
      <c r="A170" t="s">
        <v>393</v>
      </c>
      <c r="B170" t="s">
        <v>394</v>
      </c>
      <c r="C170" t="s">
        <v>21</v>
      </c>
      <c r="D170" t="s">
        <v>22</v>
      </c>
      <c r="E170">
        <v>4</v>
      </c>
      <c r="F170" t="s">
        <v>23</v>
      </c>
      <c r="G170">
        <v>4000</v>
      </c>
      <c r="H170" t="s">
        <v>123</v>
      </c>
    </row>
    <row r="171" spans="1:9" x14ac:dyDescent="0.35">
      <c r="A171" t="s">
        <v>395</v>
      </c>
      <c r="B171" t="s">
        <v>396</v>
      </c>
      <c r="C171" t="s">
        <v>11</v>
      </c>
      <c r="D171" t="s">
        <v>12</v>
      </c>
      <c r="E171">
        <v>8</v>
      </c>
      <c r="F171">
        <v>1800</v>
      </c>
      <c r="G171">
        <v>14400</v>
      </c>
      <c r="H171" t="s">
        <v>43</v>
      </c>
      <c r="I171" t="s">
        <v>63</v>
      </c>
    </row>
    <row r="172" spans="1:9" x14ac:dyDescent="0.35">
      <c r="A172" t="s">
        <v>397</v>
      </c>
      <c r="B172" t="s">
        <v>398</v>
      </c>
      <c r="C172" t="s">
        <v>89</v>
      </c>
      <c r="D172" t="s">
        <v>90</v>
      </c>
      <c r="E172">
        <v>12</v>
      </c>
      <c r="F172">
        <v>1200</v>
      </c>
      <c r="G172">
        <v>14400</v>
      </c>
      <c r="H172" t="s">
        <v>47</v>
      </c>
      <c r="I172" t="s">
        <v>54</v>
      </c>
    </row>
    <row r="173" spans="1:9" x14ac:dyDescent="0.35">
      <c r="A173" t="s">
        <v>399</v>
      </c>
      <c r="B173" t="s">
        <v>400</v>
      </c>
      <c r="C173" t="s">
        <v>21</v>
      </c>
      <c r="D173" t="s">
        <v>22</v>
      </c>
      <c r="E173">
        <v>5</v>
      </c>
      <c r="F173">
        <v>1000</v>
      </c>
      <c r="G173">
        <v>5000</v>
      </c>
      <c r="H173" t="s">
        <v>103</v>
      </c>
      <c r="I173" t="s">
        <v>107</v>
      </c>
    </row>
    <row r="174" spans="1:9" x14ac:dyDescent="0.35">
      <c r="A174" t="s">
        <v>401</v>
      </c>
      <c r="B174" t="s">
        <v>402</v>
      </c>
      <c r="C174" t="s">
        <v>34</v>
      </c>
      <c r="D174" t="s">
        <v>29</v>
      </c>
      <c r="E174">
        <v>8</v>
      </c>
      <c r="F174">
        <v>5500</v>
      </c>
      <c r="G174">
        <v>44000</v>
      </c>
      <c r="H174" t="s">
        <v>403</v>
      </c>
      <c r="I174" t="s">
        <v>63</v>
      </c>
    </row>
    <row r="175" spans="1:9" x14ac:dyDescent="0.35">
      <c r="A175" t="s">
        <v>404</v>
      </c>
      <c r="B175" t="s">
        <v>405</v>
      </c>
      <c r="C175" t="s">
        <v>89</v>
      </c>
      <c r="D175" t="s">
        <v>90</v>
      </c>
      <c r="E175">
        <v>3</v>
      </c>
      <c r="F175">
        <v>1200</v>
      </c>
      <c r="G175">
        <v>3600</v>
      </c>
      <c r="H175" t="s">
        <v>79</v>
      </c>
      <c r="I175" t="s">
        <v>14</v>
      </c>
    </row>
    <row r="176" spans="1:9" x14ac:dyDescent="0.35">
      <c r="A176" t="s">
        <v>406</v>
      </c>
      <c r="B176" t="s">
        <v>407</v>
      </c>
      <c r="C176" t="s">
        <v>60</v>
      </c>
      <c r="D176" t="s">
        <v>38</v>
      </c>
      <c r="E176">
        <v>3</v>
      </c>
      <c r="F176">
        <v>2000</v>
      </c>
      <c r="G176">
        <v>6000</v>
      </c>
      <c r="H176" t="s">
        <v>30</v>
      </c>
      <c r="I176" t="s">
        <v>73</v>
      </c>
    </row>
    <row r="177" spans="1:9" x14ac:dyDescent="0.35">
      <c r="A177" t="s">
        <v>408</v>
      </c>
      <c r="B177" t="s">
        <v>409</v>
      </c>
      <c r="C177" t="s">
        <v>34</v>
      </c>
      <c r="D177" t="s">
        <v>29</v>
      </c>
      <c r="E177">
        <v>13</v>
      </c>
      <c r="F177">
        <v>5500</v>
      </c>
      <c r="G177">
        <v>71500</v>
      </c>
      <c r="H177" t="s">
        <v>24</v>
      </c>
      <c r="I177" t="s">
        <v>40</v>
      </c>
    </row>
    <row r="178" spans="1:9" x14ac:dyDescent="0.35">
      <c r="A178" t="s">
        <v>410</v>
      </c>
      <c r="B178" t="s">
        <v>411</v>
      </c>
      <c r="C178" t="s">
        <v>60</v>
      </c>
      <c r="D178" t="s">
        <v>38</v>
      </c>
      <c r="F178">
        <v>2000</v>
      </c>
      <c r="G178">
        <v>4000</v>
      </c>
      <c r="H178" t="s">
        <v>53</v>
      </c>
      <c r="I178" t="s">
        <v>73</v>
      </c>
    </row>
    <row r="179" spans="1:9" x14ac:dyDescent="0.35">
      <c r="A179" t="s">
        <v>412</v>
      </c>
      <c r="B179" t="s">
        <v>413</v>
      </c>
      <c r="C179" t="s">
        <v>34</v>
      </c>
      <c r="D179" t="s">
        <v>29</v>
      </c>
      <c r="E179">
        <v>12</v>
      </c>
      <c r="F179">
        <v>5500</v>
      </c>
      <c r="G179">
        <v>66000</v>
      </c>
      <c r="H179" t="s">
        <v>47</v>
      </c>
      <c r="I179" t="s">
        <v>14</v>
      </c>
    </row>
    <row r="180" spans="1:9" x14ac:dyDescent="0.35">
      <c r="A180" t="s">
        <v>414</v>
      </c>
      <c r="B180" t="s">
        <v>415</v>
      </c>
      <c r="C180" t="s">
        <v>17</v>
      </c>
      <c r="D180" t="s">
        <v>12</v>
      </c>
      <c r="E180">
        <v>5</v>
      </c>
      <c r="F180">
        <v>3000</v>
      </c>
      <c r="G180">
        <v>15000</v>
      </c>
      <c r="H180" t="s">
        <v>79</v>
      </c>
      <c r="I180" t="s">
        <v>40</v>
      </c>
    </row>
    <row r="181" spans="1:9" x14ac:dyDescent="0.35">
      <c r="A181" t="s">
        <v>416</v>
      </c>
      <c r="B181" t="s">
        <v>417</v>
      </c>
      <c r="C181" t="s">
        <v>50</v>
      </c>
      <c r="D181" t="s">
        <v>12</v>
      </c>
      <c r="E181">
        <v>15</v>
      </c>
      <c r="F181">
        <v>2500</v>
      </c>
      <c r="G181">
        <v>37500</v>
      </c>
      <c r="H181" t="s">
        <v>18</v>
      </c>
      <c r="I181" t="s">
        <v>40</v>
      </c>
    </row>
    <row r="182" spans="1:9" x14ac:dyDescent="0.35">
      <c r="A182" t="s">
        <v>418</v>
      </c>
      <c r="B182" t="s">
        <v>419</v>
      </c>
      <c r="C182" t="s">
        <v>60</v>
      </c>
      <c r="D182" t="s">
        <v>38</v>
      </c>
      <c r="E182">
        <v>13</v>
      </c>
      <c r="F182">
        <v>2000</v>
      </c>
      <c r="G182">
        <v>26000</v>
      </c>
      <c r="H182" t="s">
        <v>123</v>
      </c>
      <c r="I182" t="s">
        <v>66</v>
      </c>
    </row>
    <row r="183" spans="1:9" x14ac:dyDescent="0.35">
      <c r="A183" t="s">
        <v>420</v>
      </c>
      <c r="B183" t="s">
        <v>421</v>
      </c>
      <c r="C183" t="s">
        <v>11</v>
      </c>
      <c r="D183" t="s">
        <v>12</v>
      </c>
      <c r="E183">
        <v>11</v>
      </c>
      <c r="F183">
        <v>1800</v>
      </c>
      <c r="G183">
        <v>19800</v>
      </c>
      <c r="H183" t="s">
        <v>18</v>
      </c>
      <c r="I183" t="s">
        <v>54</v>
      </c>
    </row>
    <row r="184" spans="1:9" x14ac:dyDescent="0.35">
      <c r="A184" t="s">
        <v>422</v>
      </c>
      <c r="B184" t="s">
        <v>423</v>
      </c>
      <c r="C184" t="s">
        <v>34</v>
      </c>
      <c r="D184" t="s">
        <v>200</v>
      </c>
      <c r="E184">
        <v>9</v>
      </c>
      <c r="F184">
        <v>5500</v>
      </c>
      <c r="G184">
        <v>49500</v>
      </c>
      <c r="H184" t="s">
        <v>79</v>
      </c>
      <c r="I184" t="s">
        <v>107</v>
      </c>
    </row>
    <row r="185" spans="1:9" x14ac:dyDescent="0.35">
      <c r="A185" t="s">
        <v>424</v>
      </c>
      <c r="B185" t="s">
        <v>425</v>
      </c>
      <c r="C185" t="s">
        <v>17</v>
      </c>
      <c r="D185" t="s">
        <v>12</v>
      </c>
      <c r="E185">
        <v>6</v>
      </c>
      <c r="F185">
        <v>3000</v>
      </c>
      <c r="G185">
        <v>18000</v>
      </c>
      <c r="H185" t="s">
        <v>43</v>
      </c>
      <c r="I185" t="s">
        <v>63</v>
      </c>
    </row>
    <row r="186" spans="1:9" x14ac:dyDescent="0.35">
      <c r="A186" t="s">
        <v>426</v>
      </c>
      <c r="B186" t="s">
        <v>427</v>
      </c>
      <c r="C186" t="s">
        <v>11</v>
      </c>
      <c r="D186" t="s">
        <v>12</v>
      </c>
      <c r="E186">
        <v>15</v>
      </c>
      <c r="F186">
        <v>1800</v>
      </c>
      <c r="G186">
        <v>27000</v>
      </c>
      <c r="H186" t="s">
        <v>13</v>
      </c>
      <c r="I186" t="s">
        <v>66</v>
      </c>
    </row>
    <row r="187" spans="1:9" x14ac:dyDescent="0.35">
      <c r="A187" t="s">
        <v>428</v>
      </c>
      <c r="B187" t="s">
        <v>429</v>
      </c>
      <c r="C187" t="s">
        <v>28</v>
      </c>
      <c r="D187" t="s">
        <v>29</v>
      </c>
      <c r="E187">
        <v>10</v>
      </c>
      <c r="F187">
        <v>1500</v>
      </c>
      <c r="G187">
        <v>15000</v>
      </c>
      <c r="H187" t="s">
        <v>30</v>
      </c>
      <c r="I187" t="s">
        <v>25</v>
      </c>
    </row>
    <row r="188" spans="1:9" x14ac:dyDescent="0.35">
      <c r="A188" t="s">
        <v>430</v>
      </c>
      <c r="B188" t="s">
        <v>431</v>
      </c>
      <c r="C188" t="s">
        <v>89</v>
      </c>
      <c r="D188" t="s">
        <v>90</v>
      </c>
      <c r="E188">
        <v>1</v>
      </c>
      <c r="F188">
        <v>1200</v>
      </c>
      <c r="G188">
        <v>1200</v>
      </c>
      <c r="H188" t="s">
        <v>18</v>
      </c>
      <c r="I188" t="s">
        <v>31</v>
      </c>
    </row>
    <row r="189" spans="1:9" x14ac:dyDescent="0.35">
      <c r="A189" t="s">
        <v>432</v>
      </c>
      <c r="B189" t="s">
        <v>433</v>
      </c>
      <c r="C189" t="s">
        <v>21</v>
      </c>
      <c r="D189" t="s">
        <v>22</v>
      </c>
      <c r="E189">
        <v>6</v>
      </c>
      <c r="F189">
        <v>1000</v>
      </c>
      <c r="G189">
        <v>6000</v>
      </c>
      <c r="H189" t="s">
        <v>18</v>
      </c>
      <c r="I189" t="s">
        <v>76</v>
      </c>
    </row>
    <row r="190" spans="1:9" x14ac:dyDescent="0.35">
      <c r="A190" t="s">
        <v>434</v>
      </c>
      <c r="B190" t="s">
        <v>435</v>
      </c>
      <c r="C190" t="s">
        <v>60</v>
      </c>
      <c r="D190" t="s">
        <v>38</v>
      </c>
      <c r="E190">
        <v>6</v>
      </c>
      <c r="F190">
        <v>2000</v>
      </c>
      <c r="G190">
        <v>12000</v>
      </c>
      <c r="H190" t="s">
        <v>103</v>
      </c>
      <c r="I190" t="s">
        <v>76</v>
      </c>
    </row>
    <row r="191" spans="1:9" x14ac:dyDescent="0.35">
      <c r="A191" t="s">
        <v>436</v>
      </c>
      <c r="B191" t="s">
        <v>437</v>
      </c>
      <c r="C191" t="s">
        <v>21</v>
      </c>
      <c r="D191" t="s">
        <v>22</v>
      </c>
      <c r="E191">
        <v>12</v>
      </c>
      <c r="F191">
        <v>1000</v>
      </c>
      <c r="G191">
        <v>12000</v>
      </c>
      <c r="H191" t="s">
        <v>13</v>
      </c>
      <c r="I191" t="s">
        <v>107</v>
      </c>
    </row>
    <row r="192" spans="1:9" x14ac:dyDescent="0.35">
      <c r="A192" t="s">
        <v>438</v>
      </c>
      <c r="B192" t="s">
        <v>439</v>
      </c>
      <c r="C192" t="s">
        <v>50</v>
      </c>
      <c r="D192" t="s">
        <v>12</v>
      </c>
      <c r="E192">
        <v>11</v>
      </c>
      <c r="F192">
        <v>2500</v>
      </c>
      <c r="G192">
        <v>27500</v>
      </c>
      <c r="H192" t="s">
        <v>30</v>
      </c>
      <c r="I192" t="s">
        <v>14</v>
      </c>
    </row>
    <row r="193" spans="1:9" x14ac:dyDescent="0.35">
      <c r="A193" t="s">
        <v>440</v>
      </c>
      <c r="B193" t="s">
        <v>441</v>
      </c>
      <c r="C193" t="s">
        <v>50</v>
      </c>
      <c r="D193" t="s">
        <v>12</v>
      </c>
      <c r="E193">
        <v>10</v>
      </c>
      <c r="F193">
        <v>2500</v>
      </c>
      <c r="G193">
        <v>25000</v>
      </c>
      <c r="H193" t="s">
        <v>13</v>
      </c>
      <c r="I193" t="s">
        <v>40</v>
      </c>
    </row>
    <row r="194" spans="1:9" x14ac:dyDescent="0.35">
      <c r="B194" t="s">
        <v>442</v>
      </c>
      <c r="C194" t="s">
        <v>17</v>
      </c>
      <c r="D194" t="s">
        <v>12</v>
      </c>
      <c r="E194">
        <v>3</v>
      </c>
      <c r="F194">
        <v>3000</v>
      </c>
      <c r="G194">
        <v>9000</v>
      </c>
      <c r="H194" t="s">
        <v>103</v>
      </c>
      <c r="I194" t="s">
        <v>31</v>
      </c>
    </row>
    <row r="195" spans="1:9" x14ac:dyDescent="0.35">
      <c r="A195" t="s">
        <v>443</v>
      </c>
      <c r="B195" t="s">
        <v>444</v>
      </c>
      <c r="C195" t="s">
        <v>28</v>
      </c>
      <c r="D195" t="s">
        <v>29</v>
      </c>
      <c r="E195">
        <v>3</v>
      </c>
      <c r="F195">
        <v>1500</v>
      </c>
      <c r="G195">
        <v>4500</v>
      </c>
      <c r="H195" t="s">
        <v>39</v>
      </c>
      <c r="I195" t="s">
        <v>66</v>
      </c>
    </row>
    <row r="196" spans="1:9" x14ac:dyDescent="0.35">
      <c r="A196" t="s">
        <v>445</v>
      </c>
      <c r="B196" t="s">
        <v>446</v>
      </c>
      <c r="C196" t="s">
        <v>50</v>
      </c>
      <c r="D196" t="s">
        <v>12</v>
      </c>
      <c r="E196">
        <v>2</v>
      </c>
      <c r="F196" t="s">
        <v>298</v>
      </c>
      <c r="G196">
        <v>5000</v>
      </c>
      <c r="H196" t="s">
        <v>123</v>
      </c>
      <c r="I196" t="s">
        <v>76</v>
      </c>
    </row>
    <row r="197" spans="1:9" x14ac:dyDescent="0.35">
      <c r="A197" t="s">
        <v>447</v>
      </c>
      <c r="B197" t="s">
        <v>448</v>
      </c>
      <c r="C197" t="s">
        <v>11</v>
      </c>
      <c r="D197" t="s">
        <v>12</v>
      </c>
      <c r="E197">
        <v>15</v>
      </c>
      <c r="F197">
        <v>1800</v>
      </c>
      <c r="G197">
        <v>27000</v>
      </c>
      <c r="H197" t="s">
        <v>72</v>
      </c>
      <c r="I197" t="s">
        <v>73</v>
      </c>
    </row>
    <row r="198" spans="1:9" x14ac:dyDescent="0.35">
      <c r="A198" t="s">
        <v>449</v>
      </c>
      <c r="B198" t="s">
        <v>450</v>
      </c>
      <c r="C198" t="s">
        <v>11</v>
      </c>
      <c r="D198" t="s">
        <v>12</v>
      </c>
      <c r="E198">
        <v>10</v>
      </c>
      <c r="F198">
        <v>1800</v>
      </c>
      <c r="G198">
        <v>18000</v>
      </c>
      <c r="H198" t="s">
        <v>18</v>
      </c>
      <c r="I198" t="s">
        <v>107</v>
      </c>
    </row>
    <row r="199" spans="1:9" x14ac:dyDescent="0.35">
      <c r="A199" t="s">
        <v>451</v>
      </c>
      <c r="B199" t="s">
        <v>452</v>
      </c>
      <c r="C199" t="s">
        <v>50</v>
      </c>
      <c r="D199" t="s">
        <v>12</v>
      </c>
      <c r="E199">
        <v>1</v>
      </c>
      <c r="F199">
        <v>2500</v>
      </c>
      <c r="G199">
        <v>2500</v>
      </c>
      <c r="H199" t="s">
        <v>103</v>
      </c>
      <c r="I199" t="s">
        <v>25</v>
      </c>
    </row>
    <row r="200" spans="1:9" x14ac:dyDescent="0.35">
      <c r="A200" t="s">
        <v>453</v>
      </c>
      <c r="B200" t="s">
        <v>454</v>
      </c>
      <c r="C200" t="s">
        <v>60</v>
      </c>
      <c r="D200" t="s">
        <v>38</v>
      </c>
      <c r="E200">
        <v>6</v>
      </c>
      <c r="F200">
        <v>2000</v>
      </c>
      <c r="G200">
        <v>12000</v>
      </c>
      <c r="H200" t="s">
        <v>103</v>
      </c>
      <c r="I200" t="s">
        <v>107</v>
      </c>
    </row>
    <row r="201" spans="1:9" x14ac:dyDescent="0.35">
      <c r="A201" t="s">
        <v>455</v>
      </c>
      <c r="B201" t="s">
        <v>456</v>
      </c>
      <c r="C201" t="s">
        <v>89</v>
      </c>
      <c r="D201" t="s">
        <v>90</v>
      </c>
      <c r="E201">
        <v>13</v>
      </c>
      <c r="F201">
        <v>1200</v>
      </c>
      <c r="H201" t="s">
        <v>13</v>
      </c>
      <c r="I201" t="s">
        <v>14</v>
      </c>
    </row>
    <row r="202" spans="1:9" x14ac:dyDescent="0.35">
      <c r="A202" t="s">
        <v>457</v>
      </c>
      <c r="B202" t="s">
        <v>458</v>
      </c>
      <c r="C202" t="s">
        <v>60</v>
      </c>
      <c r="D202" t="s">
        <v>38</v>
      </c>
      <c r="E202">
        <v>4</v>
      </c>
      <c r="F202">
        <v>2000</v>
      </c>
      <c r="G202">
        <v>8000</v>
      </c>
      <c r="H202" t="s">
        <v>24</v>
      </c>
      <c r="I202" t="s">
        <v>54</v>
      </c>
    </row>
    <row r="203" spans="1:9" x14ac:dyDescent="0.35">
      <c r="A203" t="s">
        <v>459</v>
      </c>
      <c r="B203" t="s">
        <v>460</v>
      </c>
      <c r="C203" t="s">
        <v>34</v>
      </c>
      <c r="D203" t="s">
        <v>29</v>
      </c>
      <c r="E203">
        <v>9</v>
      </c>
      <c r="F203">
        <v>5500</v>
      </c>
      <c r="G203">
        <v>49500</v>
      </c>
      <c r="H203" t="s">
        <v>30</v>
      </c>
    </row>
    <row r="204" spans="1:9" x14ac:dyDescent="0.35">
      <c r="A204" t="s">
        <v>461</v>
      </c>
      <c r="B204" t="s">
        <v>462</v>
      </c>
      <c r="C204" t="s">
        <v>17</v>
      </c>
      <c r="D204" t="s">
        <v>12</v>
      </c>
      <c r="E204">
        <v>2</v>
      </c>
      <c r="F204">
        <v>3000</v>
      </c>
      <c r="G204">
        <v>6000</v>
      </c>
      <c r="H204" t="s">
        <v>24</v>
      </c>
      <c r="I204" t="s">
        <v>107</v>
      </c>
    </row>
    <row r="205" spans="1:9" x14ac:dyDescent="0.35">
      <c r="A205" t="s">
        <v>463</v>
      </c>
      <c r="B205" t="s">
        <v>464</v>
      </c>
      <c r="C205" t="s">
        <v>60</v>
      </c>
      <c r="D205" t="s">
        <v>38</v>
      </c>
      <c r="E205">
        <v>12</v>
      </c>
      <c r="F205">
        <v>2000</v>
      </c>
      <c r="G205">
        <v>24000</v>
      </c>
      <c r="H205" t="s">
        <v>13</v>
      </c>
      <c r="I205" t="s">
        <v>63</v>
      </c>
    </row>
    <row r="206" spans="1:9" x14ac:dyDescent="0.35">
      <c r="A206" t="s">
        <v>465</v>
      </c>
      <c r="B206" t="s">
        <v>466</v>
      </c>
      <c r="C206" t="s">
        <v>28</v>
      </c>
      <c r="D206" t="s">
        <v>29</v>
      </c>
      <c r="E206">
        <v>3</v>
      </c>
      <c r="F206">
        <v>1500</v>
      </c>
      <c r="G206">
        <v>4500</v>
      </c>
      <c r="H206" t="s">
        <v>30</v>
      </c>
      <c r="I206" t="s">
        <v>66</v>
      </c>
    </row>
    <row r="207" spans="1:9" x14ac:dyDescent="0.35">
      <c r="A207" t="s">
        <v>467</v>
      </c>
      <c r="B207" t="s">
        <v>468</v>
      </c>
      <c r="C207" t="s">
        <v>60</v>
      </c>
      <c r="D207" t="s">
        <v>38</v>
      </c>
      <c r="F207">
        <v>2000</v>
      </c>
      <c r="G207">
        <v>30000</v>
      </c>
      <c r="H207" t="s">
        <v>30</v>
      </c>
      <c r="I207" t="s">
        <v>107</v>
      </c>
    </row>
    <row r="208" spans="1:9" x14ac:dyDescent="0.35">
      <c r="A208" t="s">
        <v>469</v>
      </c>
      <c r="B208" t="s">
        <v>470</v>
      </c>
      <c r="C208" t="s">
        <v>34</v>
      </c>
      <c r="D208" t="s">
        <v>29</v>
      </c>
      <c r="E208">
        <v>15</v>
      </c>
      <c r="F208">
        <v>5500</v>
      </c>
      <c r="G208">
        <v>82500</v>
      </c>
      <c r="H208" t="s">
        <v>72</v>
      </c>
      <c r="I208" t="s">
        <v>31</v>
      </c>
    </row>
    <row r="209" spans="1:9" x14ac:dyDescent="0.35">
      <c r="A209" t="s">
        <v>471</v>
      </c>
      <c r="B209" t="s">
        <v>472</v>
      </c>
      <c r="C209" t="s">
        <v>28</v>
      </c>
      <c r="D209" t="s">
        <v>29</v>
      </c>
      <c r="E209">
        <v>12</v>
      </c>
      <c r="F209">
        <v>1500</v>
      </c>
      <c r="G209">
        <v>18000</v>
      </c>
      <c r="H209" t="s">
        <v>13</v>
      </c>
      <c r="I209" t="s">
        <v>31</v>
      </c>
    </row>
    <row r="210" spans="1:9" x14ac:dyDescent="0.35">
      <c r="A210" t="s">
        <v>473</v>
      </c>
      <c r="B210" t="s">
        <v>474</v>
      </c>
      <c r="C210" t="s">
        <v>34</v>
      </c>
      <c r="D210" t="s">
        <v>29</v>
      </c>
      <c r="E210">
        <v>3</v>
      </c>
      <c r="F210">
        <v>5500</v>
      </c>
      <c r="G210">
        <v>16500</v>
      </c>
      <c r="H210" t="s">
        <v>39</v>
      </c>
      <c r="I210" t="s">
        <v>73</v>
      </c>
    </row>
    <row r="211" spans="1:9" x14ac:dyDescent="0.35">
      <c r="A211" t="s">
        <v>475</v>
      </c>
      <c r="B211" t="s">
        <v>476</v>
      </c>
      <c r="C211" t="s">
        <v>11</v>
      </c>
      <c r="D211" t="s">
        <v>12</v>
      </c>
      <c r="E211">
        <v>4</v>
      </c>
      <c r="F211">
        <v>1800</v>
      </c>
      <c r="G211">
        <v>7200</v>
      </c>
      <c r="H211" t="s">
        <v>103</v>
      </c>
      <c r="I211" t="s">
        <v>14</v>
      </c>
    </row>
    <row r="212" spans="1:9" x14ac:dyDescent="0.35">
      <c r="A212" t="s">
        <v>477</v>
      </c>
      <c r="B212" t="s">
        <v>478</v>
      </c>
      <c r="C212" t="s">
        <v>28</v>
      </c>
      <c r="D212" t="s">
        <v>29</v>
      </c>
      <c r="E212">
        <v>14</v>
      </c>
      <c r="F212">
        <v>1500</v>
      </c>
      <c r="G212">
        <v>21000</v>
      </c>
      <c r="H212" t="s">
        <v>43</v>
      </c>
      <c r="I212" t="s">
        <v>107</v>
      </c>
    </row>
    <row r="213" spans="1:9" x14ac:dyDescent="0.35">
      <c r="A213" t="s">
        <v>479</v>
      </c>
      <c r="B213" t="s">
        <v>480</v>
      </c>
      <c r="C213" t="s">
        <v>50</v>
      </c>
      <c r="D213" t="s">
        <v>12</v>
      </c>
      <c r="E213">
        <v>7</v>
      </c>
      <c r="F213">
        <v>2500</v>
      </c>
      <c r="G213">
        <v>17500</v>
      </c>
      <c r="H213" t="s">
        <v>53</v>
      </c>
      <c r="I213" t="s">
        <v>40</v>
      </c>
    </row>
    <row r="214" spans="1:9" x14ac:dyDescent="0.35">
      <c r="A214" t="s">
        <v>481</v>
      </c>
      <c r="B214" t="s">
        <v>482</v>
      </c>
      <c r="C214" t="s">
        <v>28</v>
      </c>
      <c r="D214" t="s">
        <v>29</v>
      </c>
      <c r="E214">
        <v>8</v>
      </c>
      <c r="F214">
        <v>1500</v>
      </c>
      <c r="G214">
        <v>12000</v>
      </c>
      <c r="H214" t="s">
        <v>79</v>
      </c>
      <c r="I214" t="s">
        <v>73</v>
      </c>
    </row>
    <row r="215" spans="1:9" x14ac:dyDescent="0.35">
      <c r="A215" t="s">
        <v>483</v>
      </c>
      <c r="B215" t="s">
        <v>484</v>
      </c>
      <c r="C215" t="s">
        <v>17</v>
      </c>
      <c r="D215" t="s">
        <v>12</v>
      </c>
      <c r="E215">
        <v>1</v>
      </c>
      <c r="F215">
        <v>3000</v>
      </c>
      <c r="H215" t="s">
        <v>18</v>
      </c>
      <c r="I215" t="s">
        <v>63</v>
      </c>
    </row>
    <row r="216" spans="1:9" x14ac:dyDescent="0.35">
      <c r="A216" t="s">
        <v>485</v>
      </c>
      <c r="B216" t="s">
        <v>486</v>
      </c>
      <c r="C216" t="s">
        <v>50</v>
      </c>
      <c r="D216" t="s">
        <v>12</v>
      </c>
      <c r="E216">
        <v>6</v>
      </c>
      <c r="F216">
        <v>2500</v>
      </c>
      <c r="G216">
        <v>15000</v>
      </c>
      <c r="H216" t="s">
        <v>79</v>
      </c>
      <c r="I216" t="s">
        <v>40</v>
      </c>
    </row>
    <row r="217" spans="1:9" x14ac:dyDescent="0.35">
      <c r="A217" t="s">
        <v>487</v>
      </c>
      <c r="B217" t="s">
        <v>488</v>
      </c>
      <c r="C217" t="s">
        <v>50</v>
      </c>
      <c r="D217" t="s">
        <v>12</v>
      </c>
      <c r="E217">
        <v>7</v>
      </c>
      <c r="F217">
        <v>2500</v>
      </c>
      <c r="G217">
        <v>17500</v>
      </c>
      <c r="H217" t="s">
        <v>43</v>
      </c>
      <c r="I217" t="s">
        <v>66</v>
      </c>
    </row>
    <row r="218" spans="1:9" x14ac:dyDescent="0.35">
      <c r="A218" t="s">
        <v>489</v>
      </c>
      <c r="B218" t="s">
        <v>490</v>
      </c>
      <c r="C218" t="s">
        <v>60</v>
      </c>
      <c r="D218" t="s">
        <v>38</v>
      </c>
      <c r="E218">
        <v>8</v>
      </c>
      <c r="F218">
        <v>2000</v>
      </c>
      <c r="G218">
        <v>16000</v>
      </c>
      <c r="H218" t="s">
        <v>103</v>
      </c>
    </row>
    <row r="219" spans="1:9" x14ac:dyDescent="0.35">
      <c r="A219" t="s">
        <v>491</v>
      </c>
      <c r="B219" t="s">
        <v>492</v>
      </c>
      <c r="C219" t="s">
        <v>89</v>
      </c>
      <c r="D219" t="s">
        <v>90</v>
      </c>
      <c r="E219">
        <v>5</v>
      </c>
      <c r="F219">
        <v>1200</v>
      </c>
      <c r="G219">
        <v>6000</v>
      </c>
      <c r="H219" t="s">
        <v>24</v>
      </c>
      <c r="I219" t="s">
        <v>40</v>
      </c>
    </row>
    <row r="220" spans="1:9" x14ac:dyDescent="0.35">
      <c r="A220" t="s">
        <v>493</v>
      </c>
      <c r="B220" t="s">
        <v>494</v>
      </c>
      <c r="C220" t="s">
        <v>50</v>
      </c>
      <c r="D220" t="s">
        <v>12</v>
      </c>
      <c r="E220">
        <v>11</v>
      </c>
      <c r="F220">
        <v>2500</v>
      </c>
      <c r="G220">
        <v>27500</v>
      </c>
      <c r="H220" t="s">
        <v>13</v>
      </c>
      <c r="I220" t="s">
        <v>73</v>
      </c>
    </row>
    <row r="221" spans="1:9" x14ac:dyDescent="0.35">
      <c r="A221" t="s">
        <v>495</v>
      </c>
      <c r="B221" t="s">
        <v>496</v>
      </c>
      <c r="C221" t="s">
        <v>34</v>
      </c>
      <c r="D221" t="s">
        <v>29</v>
      </c>
      <c r="E221">
        <v>10</v>
      </c>
      <c r="F221">
        <v>5500</v>
      </c>
      <c r="G221">
        <v>55000</v>
      </c>
      <c r="H221" t="s">
        <v>123</v>
      </c>
      <c r="I221" t="s">
        <v>40</v>
      </c>
    </row>
    <row r="222" spans="1:9" x14ac:dyDescent="0.35">
      <c r="A222" t="s">
        <v>497</v>
      </c>
      <c r="B222" t="s">
        <v>498</v>
      </c>
      <c r="C222" t="s">
        <v>11</v>
      </c>
      <c r="D222" t="s">
        <v>12</v>
      </c>
      <c r="E222">
        <v>5</v>
      </c>
      <c r="F222">
        <v>1800</v>
      </c>
      <c r="G222">
        <v>9000</v>
      </c>
      <c r="H222" t="s">
        <v>30</v>
      </c>
      <c r="I222" t="s">
        <v>40</v>
      </c>
    </row>
    <row r="223" spans="1:9" x14ac:dyDescent="0.35">
      <c r="A223" t="s">
        <v>499</v>
      </c>
      <c r="B223" t="s">
        <v>500</v>
      </c>
      <c r="C223" t="s">
        <v>34</v>
      </c>
      <c r="D223" t="s">
        <v>29</v>
      </c>
      <c r="E223">
        <v>1</v>
      </c>
      <c r="F223">
        <v>5500</v>
      </c>
      <c r="G223">
        <v>5500</v>
      </c>
      <c r="H223" t="s">
        <v>24</v>
      </c>
      <c r="I223" t="s">
        <v>76</v>
      </c>
    </row>
    <row r="224" spans="1:9" x14ac:dyDescent="0.35">
      <c r="A224" t="s">
        <v>501</v>
      </c>
      <c r="B224" t="s">
        <v>502</v>
      </c>
      <c r="C224" t="s">
        <v>11</v>
      </c>
      <c r="D224" t="s">
        <v>12</v>
      </c>
      <c r="E224">
        <v>2</v>
      </c>
      <c r="F224">
        <v>1800</v>
      </c>
      <c r="G224">
        <v>3600</v>
      </c>
      <c r="H224" t="s">
        <v>13</v>
      </c>
      <c r="I224" t="s">
        <v>31</v>
      </c>
    </row>
    <row r="225" spans="1:9" x14ac:dyDescent="0.35">
      <c r="A225" t="s">
        <v>503</v>
      </c>
      <c r="B225" t="s">
        <v>504</v>
      </c>
      <c r="C225" t="s">
        <v>50</v>
      </c>
      <c r="D225" t="s">
        <v>12</v>
      </c>
      <c r="E225">
        <v>8</v>
      </c>
      <c r="F225">
        <v>2500</v>
      </c>
      <c r="G225">
        <v>20000</v>
      </c>
      <c r="H225" t="s">
        <v>123</v>
      </c>
      <c r="I225" t="s">
        <v>40</v>
      </c>
    </row>
    <row r="226" spans="1:9" x14ac:dyDescent="0.35">
      <c r="A226" t="s">
        <v>505</v>
      </c>
      <c r="B226" t="s">
        <v>506</v>
      </c>
      <c r="C226" t="s">
        <v>50</v>
      </c>
      <c r="D226" t="s">
        <v>12</v>
      </c>
      <c r="E226">
        <v>2</v>
      </c>
      <c r="F226">
        <v>2500</v>
      </c>
      <c r="G226">
        <v>5000</v>
      </c>
      <c r="H226" t="s">
        <v>30</v>
      </c>
      <c r="I226" t="s">
        <v>73</v>
      </c>
    </row>
    <row r="227" spans="1:9" x14ac:dyDescent="0.35">
      <c r="A227" t="s">
        <v>507</v>
      </c>
      <c r="B227" t="s">
        <v>508</v>
      </c>
      <c r="C227" t="s">
        <v>89</v>
      </c>
      <c r="D227" t="s">
        <v>90</v>
      </c>
      <c r="F227">
        <v>1200</v>
      </c>
      <c r="G227">
        <v>7200</v>
      </c>
      <c r="H227" t="s">
        <v>18</v>
      </c>
      <c r="I227" t="s">
        <v>31</v>
      </c>
    </row>
    <row r="228" spans="1:9" x14ac:dyDescent="0.35">
      <c r="A228" t="s">
        <v>509</v>
      </c>
      <c r="B228" t="s">
        <v>510</v>
      </c>
      <c r="C228" t="s">
        <v>60</v>
      </c>
      <c r="D228" t="s">
        <v>38</v>
      </c>
      <c r="E228">
        <v>9</v>
      </c>
      <c r="F228">
        <v>2000</v>
      </c>
      <c r="G228">
        <v>18000</v>
      </c>
      <c r="H228" t="s">
        <v>39</v>
      </c>
      <c r="I228" t="s">
        <v>63</v>
      </c>
    </row>
    <row r="229" spans="1:9" x14ac:dyDescent="0.35">
      <c r="A229" t="s">
        <v>511</v>
      </c>
      <c r="B229" t="s">
        <v>512</v>
      </c>
      <c r="C229" t="s">
        <v>89</v>
      </c>
      <c r="D229" t="s">
        <v>90</v>
      </c>
      <c r="E229">
        <v>15</v>
      </c>
      <c r="F229">
        <v>1200</v>
      </c>
      <c r="G229">
        <v>18000</v>
      </c>
      <c r="H229" t="s">
        <v>13</v>
      </c>
      <c r="I229" t="s">
        <v>73</v>
      </c>
    </row>
    <row r="230" spans="1:9" x14ac:dyDescent="0.35">
      <c r="A230" t="s">
        <v>513</v>
      </c>
      <c r="B230" t="s">
        <v>514</v>
      </c>
      <c r="C230" t="s">
        <v>17</v>
      </c>
      <c r="D230" t="s">
        <v>12</v>
      </c>
      <c r="E230">
        <v>5</v>
      </c>
      <c r="F230">
        <v>3000</v>
      </c>
      <c r="G230">
        <v>15000</v>
      </c>
      <c r="H230" t="s">
        <v>18</v>
      </c>
      <c r="I230" t="s">
        <v>107</v>
      </c>
    </row>
    <row r="231" spans="1:9" x14ac:dyDescent="0.35">
      <c r="A231" t="s">
        <v>515</v>
      </c>
      <c r="B231" t="s">
        <v>516</v>
      </c>
      <c r="C231" t="s">
        <v>17</v>
      </c>
      <c r="D231" t="s">
        <v>112</v>
      </c>
      <c r="E231">
        <v>9</v>
      </c>
      <c r="F231">
        <v>3000</v>
      </c>
      <c r="G231">
        <v>27000</v>
      </c>
      <c r="H231" t="s">
        <v>123</v>
      </c>
      <c r="I231" t="s">
        <v>107</v>
      </c>
    </row>
    <row r="232" spans="1:9" x14ac:dyDescent="0.35">
      <c r="A232" t="s">
        <v>517</v>
      </c>
      <c r="B232" t="s">
        <v>518</v>
      </c>
      <c r="C232" t="s">
        <v>89</v>
      </c>
      <c r="D232" t="s">
        <v>90</v>
      </c>
      <c r="E232">
        <v>4</v>
      </c>
      <c r="F232">
        <v>1200</v>
      </c>
      <c r="G232">
        <v>4800</v>
      </c>
      <c r="H232" t="s">
        <v>39</v>
      </c>
      <c r="I232" t="s">
        <v>63</v>
      </c>
    </row>
    <row r="233" spans="1:9" x14ac:dyDescent="0.35">
      <c r="A233" t="s">
        <v>519</v>
      </c>
      <c r="B233" t="s">
        <v>520</v>
      </c>
      <c r="C233" t="s">
        <v>11</v>
      </c>
      <c r="D233" t="s">
        <v>12</v>
      </c>
      <c r="E233">
        <v>2</v>
      </c>
      <c r="F233" t="s">
        <v>46</v>
      </c>
      <c r="G233">
        <v>3600</v>
      </c>
      <c r="H233" t="s">
        <v>123</v>
      </c>
      <c r="I233" t="s">
        <v>25</v>
      </c>
    </row>
    <row r="234" spans="1:9" x14ac:dyDescent="0.35">
      <c r="A234" t="s">
        <v>521</v>
      </c>
      <c r="B234" t="s">
        <v>522</v>
      </c>
      <c r="C234" t="s">
        <v>89</v>
      </c>
      <c r="D234" t="s">
        <v>90</v>
      </c>
      <c r="E234">
        <v>2</v>
      </c>
      <c r="F234">
        <v>1200</v>
      </c>
      <c r="G234">
        <v>2400</v>
      </c>
      <c r="H234" t="s">
        <v>79</v>
      </c>
      <c r="I234" t="s">
        <v>25</v>
      </c>
    </row>
    <row r="235" spans="1:9" x14ac:dyDescent="0.35">
      <c r="A235" t="s">
        <v>523</v>
      </c>
      <c r="B235" t="s">
        <v>524</v>
      </c>
      <c r="C235" t="s">
        <v>60</v>
      </c>
      <c r="D235" t="s">
        <v>38</v>
      </c>
      <c r="E235">
        <v>11</v>
      </c>
      <c r="F235">
        <v>2000</v>
      </c>
      <c r="G235">
        <v>22000</v>
      </c>
      <c r="H235" t="s">
        <v>79</v>
      </c>
      <c r="I235" t="s">
        <v>40</v>
      </c>
    </row>
    <row r="236" spans="1:9" x14ac:dyDescent="0.35">
      <c r="A236" t="s">
        <v>525</v>
      </c>
      <c r="B236" t="s">
        <v>526</v>
      </c>
      <c r="C236" t="s">
        <v>28</v>
      </c>
      <c r="D236" t="s">
        <v>29</v>
      </c>
      <c r="E236">
        <v>1</v>
      </c>
      <c r="F236">
        <v>1500</v>
      </c>
      <c r="G236">
        <v>1500</v>
      </c>
      <c r="H236" t="s">
        <v>13</v>
      </c>
      <c r="I236" t="s">
        <v>54</v>
      </c>
    </row>
    <row r="237" spans="1:9" x14ac:dyDescent="0.35">
      <c r="A237" t="s">
        <v>527</v>
      </c>
      <c r="B237" t="s">
        <v>528</v>
      </c>
      <c r="C237" t="s">
        <v>60</v>
      </c>
      <c r="D237" t="s">
        <v>38</v>
      </c>
      <c r="E237">
        <v>5</v>
      </c>
      <c r="F237">
        <v>2000</v>
      </c>
      <c r="G237">
        <v>10000</v>
      </c>
      <c r="H237" t="s">
        <v>39</v>
      </c>
    </row>
    <row r="238" spans="1:9" x14ac:dyDescent="0.35">
      <c r="A238" t="s">
        <v>529</v>
      </c>
      <c r="B238" t="s">
        <v>530</v>
      </c>
      <c r="C238" t="s">
        <v>89</v>
      </c>
      <c r="D238" t="s">
        <v>90</v>
      </c>
      <c r="E238">
        <v>6</v>
      </c>
      <c r="F238">
        <v>1200</v>
      </c>
      <c r="G238">
        <v>7200</v>
      </c>
      <c r="H238" t="s">
        <v>39</v>
      </c>
      <c r="I238" t="s">
        <v>25</v>
      </c>
    </row>
    <row r="239" spans="1:9" x14ac:dyDescent="0.35">
      <c r="A239" t="s">
        <v>531</v>
      </c>
      <c r="B239" t="s">
        <v>532</v>
      </c>
      <c r="C239" t="s">
        <v>60</v>
      </c>
      <c r="D239" t="s">
        <v>38</v>
      </c>
      <c r="E239">
        <v>6</v>
      </c>
      <c r="F239" t="s">
        <v>164</v>
      </c>
      <c r="G239">
        <v>12000</v>
      </c>
      <c r="H239" t="s">
        <v>30</v>
      </c>
      <c r="I239" t="s">
        <v>107</v>
      </c>
    </row>
    <row r="240" spans="1:9" x14ac:dyDescent="0.35">
      <c r="A240" t="s">
        <v>533</v>
      </c>
      <c r="B240" t="s">
        <v>534</v>
      </c>
      <c r="C240" t="s">
        <v>11</v>
      </c>
      <c r="D240" t="s">
        <v>12</v>
      </c>
      <c r="E240">
        <v>14</v>
      </c>
      <c r="F240">
        <v>1800</v>
      </c>
      <c r="G240">
        <v>25200</v>
      </c>
      <c r="H240" t="s">
        <v>43</v>
      </c>
      <c r="I240" t="s">
        <v>25</v>
      </c>
    </row>
    <row r="241" spans="1:9" x14ac:dyDescent="0.35">
      <c r="A241" t="s">
        <v>535</v>
      </c>
      <c r="B241" t="s">
        <v>536</v>
      </c>
      <c r="C241" t="s">
        <v>28</v>
      </c>
      <c r="D241" t="s">
        <v>29</v>
      </c>
      <c r="E241">
        <v>9</v>
      </c>
      <c r="F241">
        <v>1500</v>
      </c>
      <c r="G241">
        <v>13500</v>
      </c>
      <c r="H241" t="s">
        <v>43</v>
      </c>
      <c r="I241" t="s">
        <v>73</v>
      </c>
    </row>
    <row r="242" spans="1:9" x14ac:dyDescent="0.35">
      <c r="A242" t="s">
        <v>537</v>
      </c>
      <c r="B242" t="s">
        <v>538</v>
      </c>
      <c r="C242" t="s">
        <v>34</v>
      </c>
      <c r="D242" t="s">
        <v>29</v>
      </c>
      <c r="E242">
        <v>2</v>
      </c>
      <c r="F242">
        <v>5500</v>
      </c>
      <c r="G242">
        <v>11000</v>
      </c>
      <c r="H242" t="s">
        <v>39</v>
      </c>
      <c r="I242" t="s">
        <v>40</v>
      </c>
    </row>
    <row r="243" spans="1:9" x14ac:dyDescent="0.35">
      <c r="A243" t="s">
        <v>539</v>
      </c>
      <c r="B243" t="s">
        <v>540</v>
      </c>
      <c r="C243" t="s">
        <v>17</v>
      </c>
      <c r="D243" t="s">
        <v>12</v>
      </c>
      <c r="E243">
        <v>13</v>
      </c>
      <c r="F243">
        <v>3000</v>
      </c>
      <c r="G243">
        <v>39000</v>
      </c>
      <c r="H243" t="s">
        <v>18</v>
      </c>
      <c r="I243" t="s">
        <v>107</v>
      </c>
    </row>
    <row r="244" spans="1:9" x14ac:dyDescent="0.35">
      <c r="A244" t="s">
        <v>541</v>
      </c>
      <c r="B244" t="s">
        <v>542</v>
      </c>
      <c r="C244" t="s">
        <v>60</v>
      </c>
      <c r="D244" t="s">
        <v>38</v>
      </c>
      <c r="E244">
        <v>11</v>
      </c>
      <c r="F244" t="s">
        <v>164</v>
      </c>
      <c r="G244">
        <v>22000</v>
      </c>
      <c r="H244" t="s">
        <v>24</v>
      </c>
      <c r="I244" t="s">
        <v>73</v>
      </c>
    </row>
    <row r="245" spans="1:9" x14ac:dyDescent="0.35">
      <c r="A245" t="s">
        <v>543</v>
      </c>
      <c r="B245" t="s">
        <v>544</v>
      </c>
      <c r="C245" t="s">
        <v>37</v>
      </c>
      <c r="D245" t="s">
        <v>38</v>
      </c>
      <c r="E245">
        <v>12</v>
      </c>
      <c r="F245">
        <v>2000</v>
      </c>
      <c r="G245">
        <v>24000</v>
      </c>
      <c r="H245" t="s">
        <v>18</v>
      </c>
      <c r="I245" t="s">
        <v>54</v>
      </c>
    </row>
    <row r="246" spans="1:9" x14ac:dyDescent="0.35">
      <c r="A246" t="s">
        <v>545</v>
      </c>
      <c r="B246" t="s">
        <v>546</v>
      </c>
      <c r="C246" t="s">
        <v>11</v>
      </c>
      <c r="D246" t="s">
        <v>12</v>
      </c>
      <c r="E246">
        <v>4</v>
      </c>
      <c r="F246">
        <v>1800</v>
      </c>
      <c r="G246">
        <v>7200</v>
      </c>
      <c r="H246" t="s">
        <v>123</v>
      </c>
      <c r="I246" t="s">
        <v>73</v>
      </c>
    </row>
    <row r="247" spans="1:9" x14ac:dyDescent="0.35">
      <c r="A247" t="s">
        <v>547</v>
      </c>
      <c r="B247" t="s">
        <v>548</v>
      </c>
      <c r="C247" t="s">
        <v>146</v>
      </c>
      <c r="D247" t="s">
        <v>12</v>
      </c>
      <c r="E247">
        <v>6</v>
      </c>
      <c r="F247" t="s">
        <v>57</v>
      </c>
      <c r="G247">
        <v>18000</v>
      </c>
      <c r="H247" t="s">
        <v>103</v>
      </c>
      <c r="I247" t="s">
        <v>63</v>
      </c>
    </row>
    <row r="248" spans="1:9" x14ac:dyDescent="0.35">
      <c r="A248" t="s">
        <v>549</v>
      </c>
      <c r="B248" t="s">
        <v>550</v>
      </c>
      <c r="C248" t="s">
        <v>11</v>
      </c>
      <c r="D248" t="s">
        <v>12</v>
      </c>
      <c r="E248">
        <v>1</v>
      </c>
      <c r="F248" t="s">
        <v>46</v>
      </c>
      <c r="G248">
        <v>1800</v>
      </c>
      <c r="H248" t="s">
        <v>72</v>
      </c>
      <c r="I248" t="s">
        <v>107</v>
      </c>
    </row>
    <row r="249" spans="1:9" x14ac:dyDescent="0.35">
      <c r="A249" t="s">
        <v>551</v>
      </c>
      <c r="B249" t="s">
        <v>552</v>
      </c>
      <c r="C249" t="s">
        <v>89</v>
      </c>
      <c r="D249" t="s">
        <v>90</v>
      </c>
      <c r="E249">
        <v>6</v>
      </c>
      <c r="F249">
        <v>1200</v>
      </c>
      <c r="G249">
        <v>7200</v>
      </c>
      <c r="H249" t="s">
        <v>43</v>
      </c>
      <c r="I249" t="s">
        <v>107</v>
      </c>
    </row>
    <row r="250" spans="1:9" x14ac:dyDescent="0.35">
      <c r="A250" t="s">
        <v>553</v>
      </c>
      <c r="B250" t="s">
        <v>554</v>
      </c>
      <c r="C250" t="s">
        <v>89</v>
      </c>
      <c r="D250" t="s">
        <v>90</v>
      </c>
      <c r="E250">
        <v>15</v>
      </c>
      <c r="F250">
        <v>1200</v>
      </c>
      <c r="G250">
        <v>18000</v>
      </c>
      <c r="H250" t="s">
        <v>18</v>
      </c>
      <c r="I250" t="s">
        <v>107</v>
      </c>
    </row>
    <row r="251" spans="1:9" x14ac:dyDescent="0.35">
      <c r="A251" t="s">
        <v>555</v>
      </c>
      <c r="B251" t="s">
        <v>556</v>
      </c>
      <c r="C251" t="s">
        <v>28</v>
      </c>
      <c r="D251" t="s">
        <v>29</v>
      </c>
      <c r="E251">
        <v>3</v>
      </c>
      <c r="F251">
        <v>1500</v>
      </c>
      <c r="G251">
        <v>4500</v>
      </c>
      <c r="H251" t="s">
        <v>47</v>
      </c>
      <c r="I251" t="s">
        <v>54</v>
      </c>
    </row>
    <row r="252" spans="1:9" x14ac:dyDescent="0.35">
      <c r="A252" t="s">
        <v>557</v>
      </c>
      <c r="B252" t="s">
        <v>558</v>
      </c>
      <c r="C252" t="s">
        <v>28</v>
      </c>
      <c r="D252" t="s">
        <v>29</v>
      </c>
      <c r="E252">
        <v>13</v>
      </c>
      <c r="F252">
        <v>1500</v>
      </c>
      <c r="G252">
        <v>19500</v>
      </c>
      <c r="H252" t="s">
        <v>103</v>
      </c>
      <c r="I252" t="s">
        <v>31</v>
      </c>
    </row>
    <row r="253" spans="1:9" x14ac:dyDescent="0.35">
      <c r="A253" t="s">
        <v>559</v>
      </c>
      <c r="B253" t="s">
        <v>560</v>
      </c>
      <c r="C253" t="s">
        <v>50</v>
      </c>
      <c r="D253" t="s">
        <v>12</v>
      </c>
      <c r="E253">
        <v>5</v>
      </c>
      <c r="F253">
        <v>2500</v>
      </c>
      <c r="G253">
        <v>12500</v>
      </c>
      <c r="H253" t="s">
        <v>30</v>
      </c>
      <c r="I253" t="s">
        <v>66</v>
      </c>
    </row>
    <row r="254" spans="1:9" x14ac:dyDescent="0.35">
      <c r="A254" t="s">
        <v>561</v>
      </c>
      <c r="B254" t="s">
        <v>562</v>
      </c>
      <c r="C254" t="s">
        <v>50</v>
      </c>
      <c r="D254" t="s">
        <v>12</v>
      </c>
      <c r="E254">
        <v>7</v>
      </c>
      <c r="F254">
        <v>2500</v>
      </c>
      <c r="G254">
        <v>17500</v>
      </c>
      <c r="H254" t="s">
        <v>39</v>
      </c>
      <c r="I254" t="s">
        <v>31</v>
      </c>
    </row>
    <row r="255" spans="1:9" x14ac:dyDescent="0.35">
      <c r="A255" t="s">
        <v>563</v>
      </c>
      <c r="B255" t="s">
        <v>564</v>
      </c>
      <c r="C255" t="s">
        <v>60</v>
      </c>
      <c r="D255" t="s">
        <v>38</v>
      </c>
      <c r="E255">
        <v>14</v>
      </c>
      <c r="F255">
        <v>2000</v>
      </c>
      <c r="G255">
        <v>28000</v>
      </c>
      <c r="H255" t="s">
        <v>565</v>
      </c>
      <c r="I255" t="s">
        <v>76</v>
      </c>
    </row>
    <row r="256" spans="1:9" x14ac:dyDescent="0.35">
      <c r="A256" t="s">
        <v>566</v>
      </c>
      <c r="B256" t="s">
        <v>567</v>
      </c>
      <c r="C256" t="s">
        <v>89</v>
      </c>
      <c r="D256" t="s">
        <v>90</v>
      </c>
      <c r="E256">
        <v>15</v>
      </c>
      <c r="F256">
        <v>1200</v>
      </c>
      <c r="G256">
        <v>18000</v>
      </c>
      <c r="H256" t="s">
        <v>39</v>
      </c>
      <c r="I256" t="s">
        <v>66</v>
      </c>
    </row>
    <row r="257" spans="1:9" x14ac:dyDescent="0.35">
      <c r="A257" t="s">
        <v>568</v>
      </c>
      <c r="B257" t="s">
        <v>569</v>
      </c>
      <c r="C257" t="s">
        <v>11</v>
      </c>
      <c r="D257" t="s">
        <v>12</v>
      </c>
      <c r="E257">
        <v>9</v>
      </c>
      <c r="F257" t="s">
        <v>46</v>
      </c>
      <c r="G257">
        <v>16200</v>
      </c>
      <c r="H257" t="s">
        <v>43</v>
      </c>
      <c r="I257" t="s">
        <v>66</v>
      </c>
    </row>
    <row r="258" spans="1:9" x14ac:dyDescent="0.35">
      <c r="A258" t="s">
        <v>570</v>
      </c>
      <c r="B258" t="s">
        <v>571</v>
      </c>
      <c r="C258" t="s">
        <v>21</v>
      </c>
      <c r="D258" t="s">
        <v>210</v>
      </c>
      <c r="E258">
        <v>11</v>
      </c>
      <c r="F258">
        <v>1000</v>
      </c>
      <c r="G258">
        <v>11000</v>
      </c>
      <c r="H258" t="s">
        <v>39</v>
      </c>
      <c r="I258" t="s">
        <v>73</v>
      </c>
    </row>
    <row r="259" spans="1:9" x14ac:dyDescent="0.35">
      <c r="A259" t="s">
        <v>572</v>
      </c>
      <c r="B259" t="s">
        <v>573</v>
      </c>
      <c r="C259" t="s">
        <v>21</v>
      </c>
      <c r="D259" t="s">
        <v>22</v>
      </c>
      <c r="F259">
        <v>1000</v>
      </c>
      <c r="G259">
        <v>6000</v>
      </c>
      <c r="H259" t="s">
        <v>13</v>
      </c>
      <c r="I259" t="s">
        <v>107</v>
      </c>
    </row>
    <row r="260" spans="1:9" x14ac:dyDescent="0.35">
      <c r="A260" t="s">
        <v>574</v>
      </c>
      <c r="B260" t="s">
        <v>575</v>
      </c>
      <c r="C260" t="s">
        <v>50</v>
      </c>
      <c r="D260" t="s">
        <v>12</v>
      </c>
      <c r="E260">
        <v>10</v>
      </c>
      <c r="F260" t="s">
        <v>298</v>
      </c>
      <c r="G260">
        <v>25000</v>
      </c>
      <c r="H260" t="s">
        <v>13</v>
      </c>
      <c r="I260" t="s">
        <v>66</v>
      </c>
    </row>
    <row r="261" spans="1:9" x14ac:dyDescent="0.35">
      <c r="A261" t="s">
        <v>576</v>
      </c>
      <c r="B261" t="s">
        <v>577</v>
      </c>
      <c r="C261" t="s">
        <v>21</v>
      </c>
      <c r="D261" t="s">
        <v>22</v>
      </c>
      <c r="E261">
        <v>13</v>
      </c>
      <c r="F261">
        <v>1000</v>
      </c>
      <c r="G261">
        <v>13000</v>
      </c>
      <c r="H261" t="s">
        <v>30</v>
      </c>
      <c r="I261" t="s">
        <v>66</v>
      </c>
    </row>
    <row r="262" spans="1:9" x14ac:dyDescent="0.35">
      <c r="A262" t="s">
        <v>578</v>
      </c>
      <c r="B262" t="s">
        <v>579</v>
      </c>
      <c r="C262" t="s">
        <v>28</v>
      </c>
      <c r="D262" t="s">
        <v>29</v>
      </c>
      <c r="E262">
        <v>-3</v>
      </c>
      <c r="F262" t="s">
        <v>203</v>
      </c>
      <c r="G262">
        <v>13500</v>
      </c>
      <c r="H262" t="s">
        <v>39</v>
      </c>
      <c r="I262" t="s">
        <v>63</v>
      </c>
    </row>
    <row r="263" spans="1:9" x14ac:dyDescent="0.35">
      <c r="A263" t="s">
        <v>580</v>
      </c>
      <c r="B263" t="s">
        <v>581</v>
      </c>
      <c r="C263" t="s">
        <v>50</v>
      </c>
      <c r="D263" t="s">
        <v>12</v>
      </c>
      <c r="E263">
        <v>12</v>
      </c>
      <c r="F263">
        <v>2500</v>
      </c>
      <c r="G263">
        <v>30000</v>
      </c>
      <c r="H263" t="s">
        <v>43</v>
      </c>
      <c r="I263" t="s">
        <v>14</v>
      </c>
    </row>
    <row r="264" spans="1:9" x14ac:dyDescent="0.35">
      <c r="A264" t="s">
        <v>582</v>
      </c>
      <c r="B264" t="s">
        <v>583</v>
      </c>
      <c r="C264" t="s">
        <v>11</v>
      </c>
      <c r="D264" t="s">
        <v>12</v>
      </c>
      <c r="E264">
        <v>12</v>
      </c>
      <c r="F264" t="s">
        <v>46</v>
      </c>
      <c r="G264">
        <v>21600</v>
      </c>
      <c r="H264" t="s">
        <v>43</v>
      </c>
      <c r="I264" t="s">
        <v>25</v>
      </c>
    </row>
    <row r="265" spans="1:9" x14ac:dyDescent="0.35">
      <c r="A265" t="s">
        <v>584</v>
      </c>
      <c r="B265" t="s">
        <v>585</v>
      </c>
      <c r="C265" t="s">
        <v>11</v>
      </c>
      <c r="D265" t="s">
        <v>12</v>
      </c>
      <c r="E265">
        <v>9</v>
      </c>
      <c r="F265">
        <v>1800</v>
      </c>
      <c r="G265">
        <v>16200</v>
      </c>
      <c r="H265" t="s">
        <v>39</v>
      </c>
      <c r="I265" t="s">
        <v>107</v>
      </c>
    </row>
    <row r="266" spans="1:9" x14ac:dyDescent="0.35">
      <c r="A266" t="s">
        <v>586</v>
      </c>
      <c r="B266" t="s">
        <v>587</v>
      </c>
      <c r="C266" t="s">
        <v>28</v>
      </c>
      <c r="D266" t="s">
        <v>29</v>
      </c>
      <c r="E266">
        <v>15</v>
      </c>
      <c r="F266">
        <v>1500</v>
      </c>
      <c r="G266">
        <v>22500</v>
      </c>
      <c r="H266" t="s">
        <v>588</v>
      </c>
      <c r="I266" t="s">
        <v>54</v>
      </c>
    </row>
    <row r="267" spans="1:9" x14ac:dyDescent="0.35">
      <c r="A267" t="s">
        <v>589</v>
      </c>
      <c r="B267" t="s">
        <v>590</v>
      </c>
      <c r="C267" t="s">
        <v>34</v>
      </c>
      <c r="D267" t="s">
        <v>29</v>
      </c>
      <c r="E267">
        <v>9</v>
      </c>
      <c r="F267">
        <v>5500</v>
      </c>
      <c r="G267">
        <v>49500</v>
      </c>
      <c r="H267" t="s">
        <v>123</v>
      </c>
      <c r="I267" t="s">
        <v>73</v>
      </c>
    </row>
    <row r="268" spans="1:9" x14ac:dyDescent="0.35">
      <c r="A268" t="s">
        <v>591</v>
      </c>
      <c r="B268" t="s">
        <v>592</v>
      </c>
      <c r="C268" t="s">
        <v>89</v>
      </c>
      <c r="D268" t="s">
        <v>90</v>
      </c>
      <c r="E268">
        <v>15</v>
      </c>
      <c r="F268">
        <v>1200</v>
      </c>
      <c r="G268">
        <v>18000</v>
      </c>
      <c r="H268" t="s">
        <v>18</v>
      </c>
      <c r="I268" t="s">
        <v>107</v>
      </c>
    </row>
    <row r="269" spans="1:9" x14ac:dyDescent="0.35">
      <c r="A269" t="s">
        <v>593</v>
      </c>
      <c r="B269" t="s">
        <v>594</v>
      </c>
      <c r="C269" t="s">
        <v>34</v>
      </c>
      <c r="D269" t="s">
        <v>29</v>
      </c>
      <c r="E269">
        <v>1</v>
      </c>
      <c r="F269">
        <v>5500</v>
      </c>
      <c r="G269">
        <v>5500</v>
      </c>
      <c r="H269" t="s">
        <v>72</v>
      </c>
      <c r="I269" t="s">
        <v>31</v>
      </c>
    </row>
    <row r="270" spans="1:9" x14ac:dyDescent="0.35">
      <c r="A270" t="s">
        <v>595</v>
      </c>
      <c r="B270" t="s">
        <v>596</v>
      </c>
      <c r="C270" t="s">
        <v>50</v>
      </c>
      <c r="D270" t="s">
        <v>12</v>
      </c>
      <c r="E270">
        <v>13</v>
      </c>
      <c r="F270">
        <v>2500</v>
      </c>
      <c r="G270">
        <v>32500</v>
      </c>
      <c r="H270" t="s">
        <v>43</v>
      </c>
      <c r="I270" t="s">
        <v>25</v>
      </c>
    </row>
    <row r="271" spans="1:9" x14ac:dyDescent="0.35">
      <c r="A271" t="s">
        <v>597</v>
      </c>
      <c r="B271" t="s">
        <v>598</v>
      </c>
      <c r="C271" t="s">
        <v>17</v>
      </c>
      <c r="D271" t="s">
        <v>12</v>
      </c>
      <c r="E271">
        <v>8</v>
      </c>
      <c r="F271">
        <v>3000</v>
      </c>
      <c r="G271">
        <v>24000</v>
      </c>
      <c r="H271" t="s">
        <v>39</v>
      </c>
      <c r="I271" t="s">
        <v>73</v>
      </c>
    </row>
    <row r="272" spans="1:9" x14ac:dyDescent="0.35">
      <c r="A272" t="s">
        <v>599</v>
      </c>
      <c r="B272" t="s">
        <v>600</v>
      </c>
      <c r="C272" t="s">
        <v>17</v>
      </c>
      <c r="D272" t="s">
        <v>12</v>
      </c>
      <c r="E272">
        <v>15</v>
      </c>
      <c r="F272">
        <v>3000</v>
      </c>
      <c r="G272">
        <v>45000</v>
      </c>
      <c r="H272" t="s">
        <v>30</v>
      </c>
      <c r="I272" t="s">
        <v>14</v>
      </c>
    </row>
    <row r="273" spans="1:9" x14ac:dyDescent="0.35">
      <c r="A273" t="s">
        <v>601</v>
      </c>
      <c r="B273" t="s">
        <v>602</v>
      </c>
      <c r="C273" t="s">
        <v>21</v>
      </c>
      <c r="D273" t="s">
        <v>22</v>
      </c>
      <c r="E273">
        <v>14</v>
      </c>
      <c r="F273">
        <v>1000</v>
      </c>
      <c r="G273">
        <v>14000</v>
      </c>
      <c r="H273" t="s">
        <v>72</v>
      </c>
      <c r="I273" t="s">
        <v>40</v>
      </c>
    </row>
    <row r="274" spans="1:9" x14ac:dyDescent="0.35">
      <c r="A274" t="s">
        <v>603</v>
      </c>
      <c r="B274" t="s">
        <v>604</v>
      </c>
      <c r="C274" t="s">
        <v>11</v>
      </c>
      <c r="D274" t="s">
        <v>12</v>
      </c>
      <c r="E274">
        <v>2</v>
      </c>
      <c r="F274">
        <v>1800</v>
      </c>
      <c r="G274">
        <v>3600</v>
      </c>
      <c r="H274" t="s">
        <v>103</v>
      </c>
      <c r="I274" t="s">
        <v>40</v>
      </c>
    </row>
    <row r="275" spans="1:9" x14ac:dyDescent="0.35">
      <c r="A275" t="s">
        <v>605</v>
      </c>
      <c r="B275" t="s">
        <v>606</v>
      </c>
      <c r="C275" t="s">
        <v>28</v>
      </c>
      <c r="D275" t="s">
        <v>29</v>
      </c>
      <c r="E275">
        <v>8</v>
      </c>
      <c r="F275">
        <v>1500</v>
      </c>
      <c r="H275" t="s">
        <v>53</v>
      </c>
      <c r="I275" t="s">
        <v>14</v>
      </c>
    </row>
    <row r="276" spans="1:9" x14ac:dyDescent="0.35">
      <c r="A276" t="s">
        <v>607</v>
      </c>
      <c r="B276" t="s">
        <v>608</v>
      </c>
      <c r="C276" t="s">
        <v>60</v>
      </c>
      <c r="D276" t="s">
        <v>38</v>
      </c>
      <c r="E276">
        <v>8</v>
      </c>
      <c r="F276">
        <v>2000</v>
      </c>
      <c r="G276">
        <v>16000</v>
      </c>
      <c r="H276" t="s">
        <v>43</v>
      </c>
      <c r="I276" t="s">
        <v>66</v>
      </c>
    </row>
    <row r="277" spans="1:9" x14ac:dyDescent="0.35">
      <c r="A277" t="s">
        <v>609</v>
      </c>
      <c r="B277" t="s">
        <v>610</v>
      </c>
      <c r="C277" t="s">
        <v>60</v>
      </c>
      <c r="D277" t="s">
        <v>38</v>
      </c>
      <c r="E277">
        <v>7</v>
      </c>
      <c r="F277">
        <v>2000</v>
      </c>
      <c r="G277">
        <v>14000</v>
      </c>
      <c r="H277" t="s">
        <v>18</v>
      </c>
      <c r="I277" t="s">
        <v>107</v>
      </c>
    </row>
    <row r="278" spans="1:9" x14ac:dyDescent="0.35">
      <c r="A278" t="s">
        <v>611</v>
      </c>
      <c r="B278" t="s">
        <v>612</v>
      </c>
      <c r="C278" t="s">
        <v>50</v>
      </c>
      <c r="D278" t="s">
        <v>12</v>
      </c>
      <c r="E278">
        <v>15</v>
      </c>
      <c r="F278">
        <v>2500</v>
      </c>
      <c r="G278">
        <v>37500</v>
      </c>
      <c r="H278" t="s">
        <v>250</v>
      </c>
      <c r="I278" t="s">
        <v>63</v>
      </c>
    </row>
    <row r="279" spans="1:9" x14ac:dyDescent="0.35">
      <c r="A279" t="s">
        <v>613</v>
      </c>
      <c r="B279" t="s">
        <v>614</v>
      </c>
      <c r="C279" t="s">
        <v>89</v>
      </c>
      <c r="D279" t="s">
        <v>90</v>
      </c>
      <c r="E279">
        <v>12</v>
      </c>
      <c r="F279">
        <v>1200</v>
      </c>
      <c r="G279">
        <v>14400</v>
      </c>
      <c r="H279" t="s">
        <v>30</v>
      </c>
      <c r="I279" t="s">
        <v>25</v>
      </c>
    </row>
    <row r="280" spans="1:9" x14ac:dyDescent="0.35">
      <c r="A280" t="s">
        <v>615</v>
      </c>
      <c r="B280" t="s">
        <v>616</v>
      </c>
      <c r="C280" t="s">
        <v>21</v>
      </c>
      <c r="D280" t="s">
        <v>22</v>
      </c>
      <c r="E280">
        <v>12</v>
      </c>
      <c r="F280">
        <v>1000</v>
      </c>
      <c r="G280">
        <v>12000</v>
      </c>
      <c r="H280" t="s">
        <v>47</v>
      </c>
      <c r="I280" t="s">
        <v>40</v>
      </c>
    </row>
    <row r="281" spans="1:9" x14ac:dyDescent="0.35">
      <c r="B281" t="s">
        <v>617</v>
      </c>
      <c r="C281" t="s">
        <v>89</v>
      </c>
      <c r="D281" t="s">
        <v>90</v>
      </c>
      <c r="E281">
        <v>2</v>
      </c>
      <c r="F281">
        <v>1200</v>
      </c>
      <c r="G281">
        <v>2400</v>
      </c>
      <c r="H281" t="s">
        <v>13</v>
      </c>
      <c r="I281" t="s">
        <v>31</v>
      </c>
    </row>
    <row r="282" spans="1:9" x14ac:dyDescent="0.35">
      <c r="A282" t="s">
        <v>618</v>
      </c>
      <c r="B282" t="s">
        <v>619</v>
      </c>
      <c r="C282" t="s">
        <v>34</v>
      </c>
      <c r="D282" t="s">
        <v>29</v>
      </c>
      <c r="E282">
        <v>4</v>
      </c>
      <c r="F282">
        <v>5500</v>
      </c>
      <c r="G282">
        <v>22000</v>
      </c>
      <c r="H282" t="s">
        <v>103</v>
      </c>
      <c r="I282" t="s">
        <v>31</v>
      </c>
    </row>
    <row r="283" spans="1:9" x14ac:dyDescent="0.35">
      <c r="A283" t="s">
        <v>620</v>
      </c>
      <c r="B283" t="s">
        <v>621</v>
      </c>
      <c r="C283" t="s">
        <v>17</v>
      </c>
      <c r="D283" t="s">
        <v>12</v>
      </c>
      <c r="E283">
        <v>2</v>
      </c>
      <c r="F283">
        <v>3000</v>
      </c>
      <c r="G283">
        <v>6000</v>
      </c>
      <c r="H283" t="s">
        <v>53</v>
      </c>
      <c r="I283" t="s">
        <v>107</v>
      </c>
    </row>
    <row r="284" spans="1:9" x14ac:dyDescent="0.35">
      <c r="A284" t="s">
        <v>622</v>
      </c>
      <c r="B284" t="s">
        <v>623</v>
      </c>
      <c r="C284" t="s">
        <v>86</v>
      </c>
      <c r="D284" t="s">
        <v>22</v>
      </c>
      <c r="E284">
        <v>15</v>
      </c>
      <c r="F284">
        <v>1000</v>
      </c>
      <c r="G284">
        <v>15000</v>
      </c>
      <c r="H284" t="s">
        <v>103</v>
      </c>
      <c r="I284" t="s">
        <v>31</v>
      </c>
    </row>
    <row r="285" spans="1:9" x14ac:dyDescent="0.35">
      <c r="A285" t="s">
        <v>624</v>
      </c>
      <c r="B285" t="s">
        <v>625</v>
      </c>
      <c r="C285" t="s">
        <v>28</v>
      </c>
      <c r="D285" t="s">
        <v>29</v>
      </c>
      <c r="E285">
        <v>-2</v>
      </c>
      <c r="F285">
        <v>1500</v>
      </c>
      <c r="G285">
        <v>21000</v>
      </c>
      <c r="H285" t="s">
        <v>79</v>
      </c>
      <c r="I285" t="s">
        <v>25</v>
      </c>
    </row>
    <row r="286" spans="1:9" x14ac:dyDescent="0.35">
      <c r="A286" t="s">
        <v>626</v>
      </c>
      <c r="B286" t="s">
        <v>627</v>
      </c>
      <c r="C286" t="s">
        <v>28</v>
      </c>
      <c r="D286" t="s">
        <v>29</v>
      </c>
      <c r="E286">
        <v>1</v>
      </c>
      <c r="F286">
        <v>1500</v>
      </c>
      <c r="G286">
        <v>1500</v>
      </c>
      <c r="H286" t="s">
        <v>43</v>
      </c>
      <c r="I286" t="s">
        <v>76</v>
      </c>
    </row>
    <row r="287" spans="1:9" x14ac:dyDescent="0.35">
      <c r="A287" t="s">
        <v>628</v>
      </c>
      <c r="B287" t="s">
        <v>629</v>
      </c>
      <c r="C287" t="s">
        <v>11</v>
      </c>
      <c r="D287" t="s">
        <v>12</v>
      </c>
      <c r="E287">
        <v>7</v>
      </c>
      <c r="F287">
        <v>1800</v>
      </c>
      <c r="G287">
        <v>12600</v>
      </c>
      <c r="H287" t="s">
        <v>18</v>
      </c>
      <c r="I287" t="s">
        <v>63</v>
      </c>
    </row>
    <row r="288" spans="1:9" x14ac:dyDescent="0.35">
      <c r="A288" t="s">
        <v>630</v>
      </c>
      <c r="B288" t="s">
        <v>631</v>
      </c>
      <c r="C288" t="s">
        <v>89</v>
      </c>
      <c r="D288" t="s">
        <v>90</v>
      </c>
      <c r="E288">
        <v>8</v>
      </c>
      <c r="F288">
        <v>1200</v>
      </c>
      <c r="G288">
        <v>9600</v>
      </c>
      <c r="H288" t="s">
        <v>30</v>
      </c>
      <c r="I288" t="s">
        <v>66</v>
      </c>
    </row>
    <row r="289" spans="1:9" x14ac:dyDescent="0.35">
      <c r="A289" t="s">
        <v>632</v>
      </c>
      <c r="B289" t="s">
        <v>633</v>
      </c>
      <c r="C289" t="s">
        <v>86</v>
      </c>
      <c r="D289" t="s">
        <v>22</v>
      </c>
      <c r="E289">
        <v>4</v>
      </c>
      <c r="F289">
        <v>1000</v>
      </c>
      <c r="G289">
        <v>4000</v>
      </c>
      <c r="H289" t="s">
        <v>250</v>
      </c>
      <c r="I289" t="s">
        <v>31</v>
      </c>
    </row>
    <row r="290" spans="1:9" x14ac:dyDescent="0.35">
      <c r="A290" t="s">
        <v>634</v>
      </c>
      <c r="B290" t="s">
        <v>635</v>
      </c>
      <c r="C290" t="s">
        <v>50</v>
      </c>
      <c r="D290" t="s">
        <v>12</v>
      </c>
      <c r="E290">
        <v>9</v>
      </c>
      <c r="F290">
        <v>2500</v>
      </c>
      <c r="G290">
        <v>22500</v>
      </c>
      <c r="H290" t="s">
        <v>18</v>
      </c>
      <c r="I290" t="s">
        <v>107</v>
      </c>
    </row>
    <row r="291" spans="1:9" x14ac:dyDescent="0.35">
      <c r="A291" t="s">
        <v>636</v>
      </c>
      <c r="B291" t="s">
        <v>637</v>
      </c>
      <c r="C291" t="s">
        <v>17</v>
      </c>
      <c r="D291" t="s">
        <v>12</v>
      </c>
      <c r="E291">
        <v>13</v>
      </c>
      <c r="F291">
        <v>3000</v>
      </c>
      <c r="G291">
        <v>39000</v>
      </c>
      <c r="H291" t="s">
        <v>43</v>
      </c>
      <c r="I291" t="s">
        <v>63</v>
      </c>
    </row>
    <row r="292" spans="1:9" x14ac:dyDescent="0.35">
      <c r="A292" t="s">
        <v>638</v>
      </c>
      <c r="B292" t="s">
        <v>639</v>
      </c>
      <c r="C292" t="s">
        <v>86</v>
      </c>
      <c r="D292" t="s">
        <v>22</v>
      </c>
      <c r="E292">
        <v>10</v>
      </c>
      <c r="F292">
        <v>1000</v>
      </c>
      <c r="G292">
        <v>10000</v>
      </c>
      <c r="H292" t="s">
        <v>13</v>
      </c>
      <c r="I292" t="s">
        <v>107</v>
      </c>
    </row>
    <row r="293" spans="1:9" x14ac:dyDescent="0.35">
      <c r="A293" t="s">
        <v>640</v>
      </c>
      <c r="B293" t="s">
        <v>641</v>
      </c>
      <c r="C293" t="s">
        <v>34</v>
      </c>
      <c r="D293" t="s">
        <v>29</v>
      </c>
      <c r="F293">
        <v>5500</v>
      </c>
      <c r="G293">
        <v>27500</v>
      </c>
      <c r="H293" t="s">
        <v>30</v>
      </c>
      <c r="I293" t="s">
        <v>25</v>
      </c>
    </row>
    <row r="294" spans="1:9" x14ac:dyDescent="0.35">
      <c r="A294" t="s">
        <v>642</v>
      </c>
      <c r="B294" t="s">
        <v>643</v>
      </c>
      <c r="C294" t="s">
        <v>21</v>
      </c>
      <c r="D294" t="s">
        <v>22</v>
      </c>
      <c r="E294">
        <v>2</v>
      </c>
      <c r="F294" t="s">
        <v>23</v>
      </c>
      <c r="H294" t="s">
        <v>103</v>
      </c>
      <c r="I294" t="s">
        <v>31</v>
      </c>
    </row>
    <row r="295" spans="1:9" x14ac:dyDescent="0.35">
      <c r="A295" t="s">
        <v>644</v>
      </c>
      <c r="B295" t="s">
        <v>645</v>
      </c>
      <c r="C295" t="s">
        <v>28</v>
      </c>
      <c r="D295" t="s">
        <v>29</v>
      </c>
      <c r="F295">
        <v>1500</v>
      </c>
      <c r="G295">
        <v>9000</v>
      </c>
      <c r="H295" t="s">
        <v>39</v>
      </c>
      <c r="I295" t="s">
        <v>40</v>
      </c>
    </row>
    <row r="296" spans="1:9" x14ac:dyDescent="0.35">
      <c r="A296" t="s">
        <v>646</v>
      </c>
      <c r="B296" t="s">
        <v>647</v>
      </c>
      <c r="C296" t="s">
        <v>89</v>
      </c>
      <c r="D296" t="s">
        <v>90</v>
      </c>
      <c r="E296">
        <v>10</v>
      </c>
      <c r="F296">
        <v>1200</v>
      </c>
      <c r="G296">
        <v>12000</v>
      </c>
      <c r="H296" t="s">
        <v>53</v>
      </c>
      <c r="I296" t="s">
        <v>63</v>
      </c>
    </row>
    <row r="297" spans="1:9" x14ac:dyDescent="0.35">
      <c r="A297" t="s">
        <v>648</v>
      </c>
      <c r="B297" t="s">
        <v>649</v>
      </c>
      <c r="C297" t="s">
        <v>21</v>
      </c>
      <c r="D297" t="s">
        <v>22</v>
      </c>
      <c r="E297">
        <v>3</v>
      </c>
      <c r="F297">
        <v>1000</v>
      </c>
      <c r="G297">
        <v>3000</v>
      </c>
      <c r="H297" t="s">
        <v>47</v>
      </c>
      <c r="I297" t="s">
        <v>63</v>
      </c>
    </row>
    <row r="298" spans="1:9" x14ac:dyDescent="0.35">
      <c r="A298" t="s">
        <v>650</v>
      </c>
      <c r="B298" t="s">
        <v>651</v>
      </c>
      <c r="C298" t="s">
        <v>11</v>
      </c>
      <c r="D298" t="s">
        <v>12</v>
      </c>
      <c r="E298">
        <v>10</v>
      </c>
      <c r="F298">
        <v>1800</v>
      </c>
      <c r="G298">
        <v>18000</v>
      </c>
      <c r="H298" t="s">
        <v>13</v>
      </c>
      <c r="I298" t="s">
        <v>54</v>
      </c>
    </row>
    <row r="299" spans="1:9" x14ac:dyDescent="0.35">
      <c r="A299" t="s">
        <v>652</v>
      </c>
      <c r="B299" t="s">
        <v>653</v>
      </c>
      <c r="C299" t="s">
        <v>60</v>
      </c>
      <c r="D299" t="s">
        <v>38</v>
      </c>
      <c r="E299">
        <v>6</v>
      </c>
      <c r="F299" t="s">
        <v>164</v>
      </c>
      <c r="H299" t="s">
        <v>123</v>
      </c>
      <c r="I299" t="s">
        <v>25</v>
      </c>
    </row>
    <row r="300" spans="1:9" x14ac:dyDescent="0.35">
      <c r="A300" t="s">
        <v>654</v>
      </c>
      <c r="B300" t="s">
        <v>655</v>
      </c>
      <c r="C300" t="s">
        <v>17</v>
      </c>
      <c r="D300" t="s">
        <v>12</v>
      </c>
      <c r="E300">
        <v>7</v>
      </c>
      <c r="F300" t="s">
        <v>57</v>
      </c>
      <c r="G300">
        <v>21000</v>
      </c>
      <c r="H300" t="s">
        <v>123</v>
      </c>
      <c r="I300" t="s">
        <v>76</v>
      </c>
    </row>
    <row r="301" spans="1:9" x14ac:dyDescent="0.35">
      <c r="A301" t="s">
        <v>656</v>
      </c>
      <c r="B301" t="s">
        <v>657</v>
      </c>
      <c r="C301" t="s">
        <v>11</v>
      </c>
      <c r="D301" t="s">
        <v>12</v>
      </c>
      <c r="E301">
        <v>12</v>
      </c>
      <c r="F301">
        <v>1800</v>
      </c>
      <c r="G301">
        <v>21600</v>
      </c>
      <c r="H301" t="s">
        <v>18</v>
      </c>
      <c r="I301" t="s">
        <v>14</v>
      </c>
    </row>
    <row r="302" spans="1:9" x14ac:dyDescent="0.35">
      <c r="A302" t="s">
        <v>658</v>
      </c>
      <c r="B302" t="s">
        <v>659</v>
      </c>
      <c r="C302" t="s">
        <v>146</v>
      </c>
      <c r="D302" t="s">
        <v>12</v>
      </c>
      <c r="E302">
        <v>10</v>
      </c>
      <c r="F302">
        <v>3000</v>
      </c>
      <c r="G302">
        <v>30000</v>
      </c>
      <c r="H302" t="s">
        <v>39</v>
      </c>
      <c r="I302" t="s">
        <v>54</v>
      </c>
    </row>
    <row r="303" spans="1:9" x14ac:dyDescent="0.35">
      <c r="A303" t="s">
        <v>660</v>
      </c>
      <c r="B303" t="s">
        <v>661</v>
      </c>
      <c r="C303" t="s">
        <v>60</v>
      </c>
      <c r="D303" t="s">
        <v>38</v>
      </c>
      <c r="E303">
        <v>15</v>
      </c>
      <c r="F303">
        <v>2000</v>
      </c>
      <c r="G303">
        <v>30000</v>
      </c>
      <c r="H303" t="s">
        <v>47</v>
      </c>
      <c r="I303" t="s">
        <v>14</v>
      </c>
    </row>
    <row r="304" spans="1:9" x14ac:dyDescent="0.35">
      <c r="A304" t="s">
        <v>662</v>
      </c>
      <c r="B304" t="s">
        <v>663</v>
      </c>
      <c r="C304" t="s">
        <v>89</v>
      </c>
      <c r="D304" t="s">
        <v>90</v>
      </c>
      <c r="E304">
        <v>6</v>
      </c>
      <c r="F304">
        <v>1200</v>
      </c>
      <c r="G304">
        <v>7200</v>
      </c>
      <c r="H304" t="s">
        <v>47</v>
      </c>
      <c r="I304" t="s">
        <v>107</v>
      </c>
    </row>
    <row r="305" spans="1:9" x14ac:dyDescent="0.35">
      <c r="A305" t="s">
        <v>664</v>
      </c>
      <c r="B305" t="s">
        <v>665</v>
      </c>
      <c r="C305" t="s">
        <v>17</v>
      </c>
      <c r="D305" t="s">
        <v>12</v>
      </c>
      <c r="E305">
        <v>11</v>
      </c>
      <c r="F305">
        <v>3000</v>
      </c>
      <c r="G305">
        <v>33000</v>
      </c>
      <c r="H305" t="s">
        <v>123</v>
      </c>
      <c r="I305" t="s">
        <v>76</v>
      </c>
    </row>
    <row r="306" spans="1:9" x14ac:dyDescent="0.35">
      <c r="A306" t="s">
        <v>666</v>
      </c>
      <c r="B306" t="s">
        <v>667</v>
      </c>
      <c r="C306" t="s">
        <v>34</v>
      </c>
      <c r="D306" t="s">
        <v>29</v>
      </c>
      <c r="E306">
        <v>4</v>
      </c>
      <c r="F306">
        <v>5500</v>
      </c>
      <c r="G306">
        <v>22000</v>
      </c>
      <c r="H306" t="s">
        <v>47</v>
      </c>
      <c r="I306" t="s">
        <v>107</v>
      </c>
    </row>
    <row r="307" spans="1:9" x14ac:dyDescent="0.35">
      <c r="A307" t="s">
        <v>668</v>
      </c>
      <c r="B307" t="s">
        <v>669</v>
      </c>
      <c r="C307" t="s">
        <v>34</v>
      </c>
      <c r="D307" t="s">
        <v>29</v>
      </c>
      <c r="E307">
        <v>3</v>
      </c>
      <c r="F307">
        <v>5500</v>
      </c>
      <c r="G307">
        <v>16500</v>
      </c>
      <c r="H307" t="s">
        <v>24</v>
      </c>
      <c r="I307" t="s">
        <v>63</v>
      </c>
    </row>
    <row r="308" spans="1:9" x14ac:dyDescent="0.35">
      <c r="A308" t="s">
        <v>670</v>
      </c>
      <c r="B308" t="s">
        <v>671</v>
      </c>
      <c r="C308" t="s">
        <v>21</v>
      </c>
      <c r="D308" t="s">
        <v>22</v>
      </c>
      <c r="E308">
        <v>5</v>
      </c>
      <c r="F308">
        <v>1000</v>
      </c>
      <c r="G308">
        <v>5000</v>
      </c>
      <c r="H308" t="s">
        <v>72</v>
      </c>
      <c r="I308" t="s">
        <v>66</v>
      </c>
    </row>
    <row r="309" spans="1:9" x14ac:dyDescent="0.35">
      <c r="A309" t="s">
        <v>672</v>
      </c>
      <c r="B309" t="s">
        <v>673</v>
      </c>
      <c r="C309" t="s">
        <v>60</v>
      </c>
      <c r="D309" t="s">
        <v>38</v>
      </c>
      <c r="E309">
        <v>5</v>
      </c>
      <c r="F309">
        <v>2000</v>
      </c>
      <c r="G309">
        <v>10000</v>
      </c>
      <c r="H309" t="s">
        <v>43</v>
      </c>
      <c r="I309" t="s">
        <v>73</v>
      </c>
    </row>
    <row r="310" spans="1:9" x14ac:dyDescent="0.35">
      <c r="A310" t="s">
        <v>674</v>
      </c>
      <c r="B310" t="s">
        <v>675</v>
      </c>
      <c r="C310" t="s">
        <v>34</v>
      </c>
      <c r="D310" t="s">
        <v>29</v>
      </c>
      <c r="E310">
        <v>9</v>
      </c>
      <c r="F310">
        <v>5500</v>
      </c>
      <c r="G310">
        <v>49500</v>
      </c>
      <c r="H310" t="s">
        <v>79</v>
      </c>
      <c r="I310" t="s">
        <v>25</v>
      </c>
    </row>
    <row r="311" spans="1:9" x14ac:dyDescent="0.35">
      <c r="A311" t="s">
        <v>676</v>
      </c>
      <c r="B311" t="s">
        <v>677</v>
      </c>
      <c r="C311" t="s">
        <v>11</v>
      </c>
      <c r="D311" t="s">
        <v>12</v>
      </c>
      <c r="E311">
        <v>14</v>
      </c>
      <c r="F311">
        <v>1800</v>
      </c>
      <c r="G311">
        <v>25200</v>
      </c>
      <c r="H311" t="s">
        <v>53</v>
      </c>
    </row>
    <row r="312" spans="1:9" x14ac:dyDescent="0.35">
      <c r="A312" t="s">
        <v>678</v>
      </c>
      <c r="B312" t="s">
        <v>679</v>
      </c>
      <c r="C312" t="s">
        <v>11</v>
      </c>
      <c r="D312" t="s">
        <v>12</v>
      </c>
      <c r="E312">
        <v>1</v>
      </c>
      <c r="F312">
        <v>1800</v>
      </c>
      <c r="G312">
        <v>1800</v>
      </c>
      <c r="H312" t="s">
        <v>47</v>
      </c>
      <c r="I312" t="s">
        <v>73</v>
      </c>
    </row>
    <row r="313" spans="1:9" x14ac:dyDescent="0.35">
      <c r="A313" t="s">
        <v>680</v>
      </c>
      <c r="B313" t="s">
        <v>681</v>
      </c>
      <c r="C313" t="s">
        <v>21</v>
      </c>
      <c r="D313" t="s">
        <v>22</v>
      </c>
      <c r="E313">
        <v>8</v>
      </c>
      <c r="F313">
        <v>1000</v>
      </c>
      <c r="H313" t="s">
        <v>72</v>
      </c>
      <c r="I313" t="s">
        <v>73</v>
      </c>
    </row>
    <row r="314" spans="1:9" x14ac:dyDescent="0.35">
      <c r="A314" t="s">
        <v>682</v>
      </c>
      <c r="B314" t="s">
        <v>683</v>
      </c>
      <c r="C314" t="s">
        <v>28</v>
      </c>
      <c r="D314" t="s">
        <v>29</v>
      </c>
      <c r="F314">
        <v>1500</v>
      </c>
      <c r="G314">
        <v>15000</v>
      </c>
      <c r="H314" t="s">
        <v>123</v>
      </c>
      <c r="I314" t="s">
        <v>31</v>
      </c>
    </row>
    <row r="315" spans="1:9" x14ac:dyDescent="0.35">
      <c r="A315" t="s">
        <v>684</v>
      </c>
      <c r="B315" t="s">
        <v>685</v>
      </c>
      <c r="C315" t="s">
        <v>34</v>
      </c>
      <c r="D315" t="s">
        <v>29</v>
      </c>
      <c r="E315">
        <v>13</v>
      </c>
      <c r="F315">
        <v>5500</v>
      </c>
      <c r="G315">
        <v>71500</v>
      </c>
      <c r="H315" t="s">
        <v>43</v>
      </c>
      <c r="I315" t="s">
        <v>25</v>
      </c>
    </row>
    <row r="316" spans="1:9" x14ac:dyDescent="0.35">
      <c r="A316" t="s">
        <v>686</v>
      </c>
      <c r="B316" t="s">
        <v>687</v>
      </c>
      <c r="C316" t="s">
        <v>89</v>
      </c>
      <c r="D316" t="s">
        <v>90</v>
      </c>
      <c r="E316">
        <v>14</v>
      </c>
      <c r="F316">
        <v>1200</v>
      </c>
      <c r="G316">
        <v>16800</v>
      </c>
      <c r="H316" t="s">
        <v>123</v>
      </c>
      <c r="I316" t="s">
        <v>14</v>
      </c>
    </row>
    <row r="317" spans="1:9" x14ac:dyDescent="0.35">
      <c r="A317" t="s">
        <v>688</v>
      </c>
      <c r="B317" t="s">
        <v>689</v>
      </c>
      <c r="C317" t="s">
        <v>89</v>
      </c>
      <c r="D317" t="s">
        <v>90</v>
      </c>
      <c r="E317">
        <v>11</v>
      </c>
      <c r="F317">
        <v>1200</v>
      </c>
      <c r="G317">
        <v>13200</v>
      </c>
      <c r="H317" t="s">
        <v>47</v>
      </c>
      <c r="I317" t="s">
        <v>40</v>
      </c>
    </row>
    <row r="318" spans="1:9" x14ac:dyDescent="0.35">
      <c r="B318" t="s">
        <v>690</v>
      </c>
      <c r="C318" t="s">
        <v>11</v>
      </c>
      <c r="D318" t="s">
        <v>12</v>
      </c>
      <c r="E318">
        <v>7</v>
      </c>
      <c r="F318">
        <v>1800</v>
      </c>
      <c r="G318">
        <v>12600</v>
      </c>
      <c r="H318" t="s">
        <v>53</v>
      </c>
      <c r="I318" t="s">
        <v>40</v>
      </c>
    </row>
    <row r="319" spans="1:9" x14ac:dyDescent="0.35">
      <c r="A319" t="s">
        <v>691</v>
      </c>
      <c r="B319" t="s">
        <v>692</v>
      </c>
      <c r="C319" t="s">
        <v>11</v>
      </c>
      <c r="D319" t="s">
        <v>12</v>
      </c>
      <c r="E319">
        <v>1</v>
      </c>
      <c r="F319">
        <v>1800</v>
      </c>
      <c r="G319">
        <v>1800</v>
      </c>
      <c r="H319" t="s">
        <v>53</v>
      </c>
      <c r="I319" t="s">
        <v>107</v>
      </c>
    </row>
    <row r="320" spans="1:9" x14ac:dyDescent="0.35">
      <c r="A320" t="s">
        <v>693</v>
      </c>
      <c r="B320" t="s">
        <v>694</v>
      </c>
      <c r="C320" t="s">
        <v>50</v>
      </c>
      <c r="D320" t="s">
        <v>12</v>
      </c>
      <c r="E320">
        <v>1</v>
      </c>
      <c r="F320">
        <v>2500</v>
      </c>
      <c r="G320">
        <v>2500</v>
      </c>
      <c r="H320" t="s">
        <v>47</v>
      </c>
      <c r="I320" t="s">
        <v>107</v>
      </c>
    </row>
    <row r="321" spans="1:9" x14ac:dyDescent="0.35">
      <c r="A321" t="s">
        <v>695</v>
      </c>
      <c r="B321" t="s">
        <v>696</v>
      </c>
      <c r="C321" t="s">
        <v>50</v>
      </c>
      <c r="D321" t="s">
        <v>12</v>
      </c>
      <c r="F321">
        <v>2500</v>
      </c>
      <c r="G321">
        <v>15000</v>
      </c>
      <c r="H321" t="s">
        <v>103</v>
      </c>
      <c r="I321" t="s">
        <v>25</v>
      </c>
    </row>
    <row r="322" spans="1:9" x14ac:dyDescent="0.35">
      <c r="A322" t="s">
        <v>697</v>
      </c>
      <c r="B322" t="s">
        <v>698</v>
      </c>
      <c r="C322" t="s">
        <v>17</v>
      </c>
      <c r="D322" t="s">
        <v>12</v>
      </c>
      <c r="E322">
        <v>4</v>
      </c>
      <c r="F322">
        <v>3000</v>
      </c>
      <c r="G322">
        <v>12000</v>
      </c>
      <c r="H322" t="s">
        <v>30</v>
      </c>
      <c r="I322" t="s">
        <v>73</v>
      </c>
    </row>
    <row r="323" spans="1:9" x14ac:dyDescent="0.35">
      <c r="A323" t="s">
        <v>699</v>
      </c>
      <c r="B323" t="s">
        <v>700</v>
      </c>
      <c r="C323" t="s">
        <v>89</v>
      </c>
      <c r="D323" t="s">
        <v>90</v>
      </c>
      <c r="E323">
        <v>15</v>
      </c>
      <c r="F323">
        <v>1200</v>
      </c>
      <c r="G323">
        <v>18000</v>
      </c>
      <c r="H323" t="s">
        <v>123</v>
      </c>
      <c r="I323" t="s">
        <v>63</v>
      </c>
    </row>
    <row r="324" spans="1:9" x14ac:dyDescent="0.35">
      <c r="A324" t="s">
        <v>701</v>
      </c>
      <c r="B324" t="s">
        <v>702</v>
      </c>
      <c r="C324" t="s">
        <v>60</v>
      </c>
      <c r="D324" t="s">
        <v>38</v>
      </c>
      <c r="E324">
        <v>9</v>
      </c>
      <c r="F324">
        <v>2000</v>
      </c>
      <c r="G324">
        <v>18000</v>
      </c>
      <c r="H324" t="s">
        <v>123</v>
      </c>
      <c r="I324" t="s">
        <v>66</v>
      </c>
    </row>
    <row r="325" spans="1:9" x14ac:dyDescent="0.35">
      <c r="A325" t="s">
        <v>703</v>
      </c>
      <c r="B325" t="s">
        <v>704</v>
      </c>
      <c r="C325" t="s">
        <v>21</v>
      </c>
      <c r="D325" t="s">
        <v>22</v>
      </c>
      <c r="E325">
        <v>6</v>
      </c>
      <c r="F325">
        <v>1000</v>
      </c>
      <c r="G325">
        <v>6000</v>
      </c>
      <c r="H325" t="s">
        <v>13</v>
      </c>
      <c r="I325" t="s">
        <v>107</v>
      </c>
    </row>
    <row r="326" spans="1:9" x14ac:dyDescent="0.35">
      <c r="A326" t="s">
        <v>705</v>
      </c>
      <c r="B326" t="s">
        <v>706</v>
      </c>
      <c r="C326" t="s">
        <v>89</v>
      </c>
      <c r="D326" t="s">
        <v>90</v>
      </c>
      <c r="E326">
        <v>5</v>
      </c>
      <c r="F326">
        <v>1200</v>
      </c>
      <c r="G326">
        <v>6000</v>
      </c>
      <c r="H326" t="s">
        <v>103</v>
      </c>
      <c r="I326" t="s">
        <v>54</v>
      </c>
    </row>
    <row r="327" spans="1:9" x14ac:dyDescent="0.35">
      <c r="A327" t="s">
        <v>707</v>
      </c>
      <c r="B327" t="s">
        <v>708</v>
      </c>
      <c r="C327" t="s">
        <v>21</v>
      </c>
      <c r="D327" t="s">
        <v>22</v>
      </c>
      <c r="E327">
        <v>8</v>
      </c>
      <c r="F327">
        <v>1000</v>
      </c>
      <c r="G327">
        <v>8000</v>
      </c>
      <c r="H327" t="s">
        <v>24</v>
      </c>
      <c r="I327" t="s">
        <v>14</v>
      </c>
    </row>
    <row r="328" spans="1:9" x14ac:dyDescent="0.35">
      <c r="A328" t="s">
        <v>709</v>
      </c>
      <c r="B328" t="s">
        <v>710</v>
      </c>
      <c r="C328" t="s">
        <v>28</v>
      </c>
      <c r="D328" t="s">
        <v>29</v>
      </c>
      <c r="E328">
        <v>9</v>
      </c>
      <c r="F328">
        <v>1500</v>
      </c>
      <c r="G328">
        <v>13500</v>
      </c>
      <c r="H328" t="s">
        <v>47</v>
      </c>
      <c r="I328" t="s">
        <v>54</v>
      </c>
    </row>
    <row r="329" spans="1:9" x14ac:dyDescent="0.35">
      <c r="A329" t="s">
        <v>711</v>
      </c>
      <c r="B329" t="s">
        <v>712</v>
      </c>
      <c r="C329" t="s">
        <v>17</v>
      </c>
      <c r="D329" t="s">
        <v>12</v>
      </c>
      <c r="E329">
        <v>5</v>
      </c>
      <c r="F329">
        <v>3000</v>
      </c>
      <c r="G329">
        <v>15000</v>
      </c>
      <c r="H329" t="s">
        <v>24</v>
      </c>
      <c r="I329" t="s">
        <v>76</v>
      </c>
    </row>
    <row r="330" spans="1:9" x14ac:dyDescent="0.35">
      <c r="A330" t="s">
        <v>713</v>
      </c>
      <c r="B330" t="s">
        <v>714</v>
      </c>
      <c r="C330" t="s">
        <v>50</v>
      </c>
      <c r="D330" t="s">
        <v>12</v>
      </c>
      <c r="E330">
        <v>2</v>
      </c>
      <c r="F330" t="s">
        <v>298</v>
      </c>
      <c r="G330">
        <v>5000</v>
      </c>
      <c r="H330" t="s">
        <v>187</v>
      </c>
      <c r="I330" t="s">
        <v>31</v>
      </c>
    </row>
    <row r="331" spans="1:9" x14ac:dyDescent="0.35">
      <c r="A331" t="s">
        <v>715</v>
      </c>
      <c r="B331" t="s">
        <v>716</v>
      </c>
      <c r="C331" t="s">
        <v>17</v>
      </c>
      <c r="D331" t="s">
        <v>12</v>
      </c>
      <c r="E331">
        <v>15</v>
      </c>
      <c r="F331">
        <v>3000</v>
      </c>
      <c r="G331">
        <v>45000</v>
      </c>
      <c r="H331" t="s">
        <v>13</v>
      </c>
      <c r="I331" t="s">
        <v>31</v>
      </c>
    </row>
    <row r="332" spans="1:9" x14ac:dyDescent="0.35">
      <c r="A332" t="s">
        <v>717</v>
      </c>
      <c r="B332" t="s">
        <v>718</v>
      </c>
      <c r="C332" t="s">
        <v>17</v>
      </c>
      <c r="D332" t="s">
        <v>12</v>
      </c>
      <c r="E332">
        <v>6</v>
      </c>
      <c r="F332">
        <v>3000</v>
      </c>
      <c r="G332">
        <v>18000</v>
      </c>
      <c r="H332" t="s">
        <v>30</v>
      </c>
      <c r="I332" t="s">
        <v>76</v>
      </c>
    </row>
    <row r="333" spans="1:9" x14ac:dyDescent="0.35">
      <c r="A333" t="s">
        <v>719</v>
      </c>
      <c r="B333" t="s">
        <v>720</v>
      </c>
      <c r="C333" t="s">
        <v>21</v>
      </c>
      <c r="D333" t="s">
        <v>22</v>
      </c>
      <c r="E333">
        <v>1</v>
      </c>
      <c r="F333">
        <v>1000</v>
      </c>
      <c r="G333">
        <v>1000</v>
      </c>
      <c r="H333" t="s">
        <v>18</v>
      </c>
      <c r="I333" t="s">
        <v>25</v>
      </c>
    </row>
    <row r="334" spans="1:9" x14ac:dyDescent="0.35">
      <c r="A334" t="s">
        <v>721</v>
      </c>
      <c r="B334" t="s">
        <v>722</v>
      </c>
      <c r="C334" t="s">
        <v>60</v>
      </c>
      <c r="D334" t="s">
        <v>38</v>
      </c>
      <c r="E334">
        <v>8</v>
      </c>
      <c r="F334">
        <v>2000</v>
      </c>
      <c r="G334">
        <v>16000</v>
      </c>
      <c r="H334" t="s">
        <v>24</v>
      </c>
      <c r="I334" t="s">
        <v>25</v>
      </c>
    </row>
    <row r="335" spans="1:9" x14ac:dyDescent="0.35">
      <c r="A335" t="s">
        <v>723</v>
      </c>
      <c r="B335" t="s">
        <v>724</v>
      </c>
      <c r="C335" t="s">
        <v>50</v>
      </c>
      <c r="D335" t="s">
        <v>12</v>
      </c>
      <c r="E335">
        <v>6</v>
      </c>
      <c r="F335">
        <v>2500</v>
      </c>
      <c r="G335">
        <v>15000</v>
      </c>
      <c r="H335" t="s">
        <v>18</v>
      </c>
      <c r="I335" t="s">
        <v>107</v>
      </c>
    </row>
    <row r="336" spans="1:9" x14ac:dyDescent="0.35">
      <c r="A336" t="s">
        <v>725</v>
      </c>
      <c r="B336" t="s">
        <v>726</v>
      </c>
      <c r="C336" t="s">
        <v>34</v>
      </c>
      <c r="D336" t="s">
        <v>29</v>
      </c>
      <c r="E336">
        <v>13</v>
      </c>
      <c r="F336">
        <v>5500</v>
      </c>
      <c r="H336" t="s">
        <v>18</v>
      </c>
      <c r="I336" t="s">
        <v>40</v>
      </c>
    </row>
    <row r="337" spans="1:9" x14ac:dyDescent="0.35">
      <c r="A337" t="s">
        <v>727</v>
      </c>
      <c r="B337" t="s">
        <v>728</v>
      </c>
      <c r="C337" t="s">
        <v>28</v>
      </c>
      <c r="D337" t="s">
        <v>29</v>
      </c>
      <c r="E337">
        <v>4</v>
      </c>
      <c r="F337">
        <v>1500</v>
      </c>
      <c r="G337">
        <v>6000</v>
      </c>
      <c r="H337" t="s">
        <v>53</v>
      </c>
      <c r="I337" t="s">
        <v>73</v>
      </c>
    </row>
    <row r="338" spans="1:9" x14ac:dyDescent="0.35">
      <c r="A338" t="s">
        <v>729</v>
      </c>
      <c r="B338" t="s">
        <v>730</v>
      </c>
      <c r="C338" t="s">
        <v>60</v>
      </c>
      <c r="D338" t="s">
        <v>38</v>
      </c>
      <c r="E338">
        <v>2</v>
      </c>
      <c r="F338">
        <v>2000</v>
      </c>
      <c r="G338">
        <v>4000</v>
      </c>
      <c r="H338" t="s">
        <v>24</v>
      </c>
      <c r="I338" t="s">
        <v>66</v>
      </c>
    </row>
    <row r="339" spans="1:9" x14ac:dyDescent="0.35">
      <c r="A339" t="s">
        <v>731</v>
      </c>
      <c r="B339" t="s">
        <v>732</v>
      </c>
      <c r="C339" t="s">
        <v>11</v>
      </c>
      <c r="D339" t="s">
        <v>12</v>
      </c>
      <c r="E339">
        <v>6</v>
      </c>
      <c r="F339">
        <v>1800</v>
      </c>
      <c r="G339">
        <v>10800</v>
      </c>
      <c r="H339" t="s">
        <v>403</v>
      </c>
      <c r="I339" t="s">
        <v>31</v>
      </c>
    </row>
    <row r="340" spans="1:9" x14ac:dyDescent="0.35">
      <c r="A340" t="s">
        <v>733</v>
      </c>
      <c r="B340" t="s">
        <v>734</v>
      </c>
      <c r="C340" t="s">
        <v>34</v>
      </c>
      <c r="D340" t="s">
        <v>29</v>
      </c>
      <c r="E340">
        <v>12</v>
      </c>
      <c r="F340">
        <v>5500</v>
      </c>
      <c r="G340">
        <v>66000</v>
      </c>
      <c r="H340" t="s">
        <v>79</v>
      </c>
      <c r="I340" t="s">
        <v>73</v>
      </c>
    </row>
    <row r="341" spans="1:9" x14ac:dyDescent="0.35">
      <c r="A341" t="s">
        <v>735</v>
      </c>
      <c r="B341" t="s">
        <v>736</v>
      </c>
      <c r="C341" t="s">
        <v>60</v>
      </c>
      <c r="D341" t="s">
        <v>38</v>
      </c>
      <c r="E341">
        <v>7</v>
      </c>
      <c r="F341">
        <v>2000</v>
      </c>
      <c r="G341">
        <v>14000</v>
      </c>
      <c r="H341" t="s">
        <v>47</v>
      </c>
      <c r="I341" t="s">
        <v>73</v>
      </c>
    </row>
    <row r="342" spans="1:9" x14ac:dyDescent="0.35">
      <c r="A342" t="s">
        <v>737</v>
      </c>
      <c r="B342" t="s">
        <v>738</v>
      </c>
      <c r="C342" t="s">
        <v>11</v>
      </c>
      <c r="D342" t="s">
        <v>12</v>
      </c>
      <c r="E342">
        <v>15</v>
      </c>
      <c r="F342">
        <v>1800</v>
      </c>
      <c r="G342">
        <v>27000</v>
      </c>
      <c r="H342" t="s">
        <v>18</v>
      </c>
      <c r="I342" t="s">
        <v>73</v>
      </c>
    </row>
    <row r="343" spans="1:9" x14ac:dyDescent="0.35">
      <c r="A343" t="s">
        <v>739</v>
      </c>
      <c r="B343" t="s">
        <v>740</v>
      </c>
      <c r="C343" t="s">
        <v>89</v>
      </c>
      <c r="D343" t="s">
        <v>90</v>
      </c>
      <c r="E343">
        <v>2</v>
      </c>
      <c r="F343">
        <v>1200</v>
      </c>
      <c r="G343">
        <v>2400</v>
      </c>
      <c r="H343" t="s">
        <v>18</v>
      </c>
      <c r="I343" t="s">
        <v>14</v>
      </c>
    </row>
    <row r="344" spans="1:9" x14ac:dyDescent="0.35">
      <c r="A344" t="s">
        <v>741</v>
      </c>
      <c r="B344" t="s">
        <v>742</v>
      </c>
      <c r="C344" t="s">
        <v>17</v>
      </c>
      <c r="D344" t="s">
        <v>12</v>
      </c>
      <c r="E344">
        <v>7</v>
      </c>
      <c r="F344">
        <v>3000</v>
      </c>
      <c r="G344">
        <v>21000</v>
      </c>
      <c r="H344" t="s">
        <v>53</v>
      </c>
      <c r="I344" t="s">
        <v>54</v>
      </c>
    </row>
    <row r="345" spans="1:9" x14ac:dyDescent="0.35">
      <c r="A345" t="s">
        <v>743</v>
      </c>
      <c r="B345" t="s">
        <v>744</v>
      </c>
      <c r="C345" t="s">
        <v>60</v>
      </c>
      <c r="D345" t="s">
        <v>38</v>
      </c>
      <c r="E345">
        <v>6</v>
      </c>
      <c r="F345">
        <v>2000</v>
      </c>
      <c r="G345">
        <v>12000</v>
      </c>
      <c r="H345" t="s">
        <v>47</v>
      </c>
      <c r="I345" t="s">
        <v>66</v>
      </c>
    </row>
    <row r="346" spans="1:9" x14ac:dyDescent="0.35">
      <c r="A346" t="s">
        <v>745</v>
      </c>
      <c r="B346" t="s">
        <v>746</v>
      </c>
      <c r="C346" t="s">
        <v>34</v>
      </c>
      <c r="D346" t="s">
        <v>29</v>
      </c>
      <c r="E346">
        <v>2</v>
      </c>
      <c r="F346">
        <v>5500</v>
      </c>
      <c r="G346">
        <v>11000</v>
      </c>
      <c r="H346" t="s">
        <v>30</v>
      </c>
      <c r="I346" t="s">
        <v>107</v>
      </c>
    </row>
    <row r="347" spans="1:9" x14ac:dyDescent="0.35">
      <c r="A347" t="s">
        <v>747</v>
      </c>
      <c r="B347" t="s">
        <v>748</v>
      </c>
      <c r="C347" t="s">
        <v>21</v>
      </c>
      <c r="D347" t="s">
        <v>22</v>
      </c>
      <c r="E347">
        <v>11</v>
      </c>
      <c r="F347">
        <v>1000</v>
      </c>
      <c r="G347">
        <v>11000</v>
      </c>
      <c r="H347" t="s">
        <v>39</v>
      </c>
      <c r="I347" t="s">
        <v>107</v>
      </c>
    </row>
    <row r="348" spans="1:9" x14ac:dyDescent="0.35">
      <c r="A348" t="s">
        <v>749</v>
      </c>
      <c r="B348" t="s">
        <v>750</v>
      </c>
      <c r="C348" t="s">
        <v>50</v>
      </c>
      <c r="D348" t="s">
        <v>12</v>
      </c>
      <c r="E348">
        <v>1</v>
      </c>
      <c r="F348">
        <v>2500</v>
      </c>
      <c r="G348">
        <v>2500</v>
      </c>
      <c r="H348" t="s">
        <v>39</v>
      </c>
      <c r="I348" t="s">
        <v>40</v>
      </c>
    </row>
    <row r="349" spans="1:9" x14ac:dyDescent="0.35">
      <c r="A349" t="s">
        <v>751</v>
      </c>
      <c r="B349" t="s">
        <v>752</v>
      </c>
      <c r="C349" t="s">
        <v>89</v>
      </c>
      <c r="D349" t="s">
        <v>90</v>
      </c>
      <c r="E349">
        <v>1</v>
      </c>
      <c r="F349">
        <v>1200</v>
      </c>
      <c r="G349">
        <v>1200</v>
      </c>
      <c r="H349" t="s">
        <v>43</v>
      </c>
      <c r="I349" t="s">
        <v>54</v>
      </c>
    </row>
    <row r="350" spans="1:9" x14ac:dyDescent="0.35">
      <c r="A350" t="s">
        <v>753</v>
      </c>
      <c r="B350" t="s">
        <v>754</v>
      </c>
      <c r="C350" t="s">
        <v>50</v>
      </c>
      <c r="D350" t="s">
        <v>12</v>
      </c>
      <c r="E350">
        <v>7</v>
      </c>
      <c r="F350">
        <v>2500</v>
      </c>
      <c r="G350">
        <v>17500</v>
      </c>
      <c r="H350" t="s">
        <v>13</v>
      </c>
      <c r="I350" t="s">
        <v>40</v>
      </c>
    </row>
    <row r="351" spans="1:9" x14ac:dyDescent="0.35">
      <c r="A351" t="s">
        <v>755</v>
      </c>
      <c r="B351" t="s">
        <v>756</v>
      </c>
      <c r="C351" t="s">
        <v>11</v>
      </c>
      <c r="D351" t="s">
        <v>12</v>
      </c>
      <c r="E351">
        <v>9</v>
      </c>
      <c r="F351">
        <v>1800</v>
      </c>
      <c r="G351">
        <v>16200</v>
      </c>
      <c r="H351" t="s">
        <v>39</v>
      </c>
      <c r="I351" t="s">
        <v>54</v>
      </c>
    </row>
    <row r="352" spans="1:9" x14ac:dyDescent="0.35">
      <c r="B352" t="s">
        <v>757</v>
      </c>
      <c r="C352" t="s">
        <v>17</v>
      </c>
      <c r="D352" t="s">
        <v>12</v>
      </c>
      <c r="E352">
        <v>4</v>
      </c>
      <c r="F352">
        <v>3000</v>
      </c>
      <c r="G352">
        <v>12000</v>
      </c>
      <c r="H352" t="s">
        <v>123</v>
      </c>
      <c r="I352" t="s">
        <v>63</v>
      </c>
    </row>
    <row r="353" spans="1:9" x14ac:dyDescent="0.35">
      <c r="A353" t="s">
        <v>758</v>
      </c>
      <c r="B353" t="s">
        <v>759</v>
      </c>
      <c r="C353" t="s">
        <v>315</v>
      </c>
      <c r="D353" t="s">
        <v>12</v>
      </c>
      <c r="E353">
        <v>3</v>
      </c>
      <c r="F353">
        <v>1800</v>
      </c>
      <c r="G353">
        <v>5400</v>
      </c>
      <c r="H353" t="s">
        <v>123</v>
      </c>
      <c r="I353" t="s">
        <v>54</v>
      </c>
    </row>
    <row r="354" spans="1:9" x14ac:dyDescent="0.35">
      <c r="A354" t="s">
        <v>760</v>
      </c>
      <c r="B354" t="s">
        <v>761</v>
      </c>
      <c r="C354" t="s">
        <v>50</v>
      </c>
      <c r="D354" t="s">
        <v>12</v>
      </c>
      <c r="E354">
        <v>10</v>
      </c>
      <c r="F354">
        <v>2500</v>
      </c>
      <c r="G354">
        <v>25000</v>
      </c>
      <c r="H354" t="s">
        <v>53</v>
      </c>
      <c r="I354" t="s">
        <v>31</v>
      </c>
    </row>
    <row r="355" spans="1:9" x14ac:dyDescent="0.35">
      <c r="A355" t="s">
        <v>762</v>
      </c>
      <c r="B355" t="s">
        <v>763</v>
      </c>
      <c r="C355" t="s">
        <v>50</v>
      </c>
      <c r="D355" t="s">
        <v>12</v>
      </c>
      <c r="E355">
        <v>8</v>
      </c>
      <c r="F355">
        <v>2500</v>
      </c>
      <c r="G355">
        <v>20000</v>
      </c>
      <c r="H355" t="s">
        <v>13</v>
      </c>
      <c r="I355" t="s">
        <v>107</v>
      </c>
    </row>
    <row r="356" spans="1:9" x14ac:dyDescent="0.35">
      <c r="A356" t="s">
        <v>764</v>
      </c>
      <c r="B356" t="s">
        <v>765</v>
      </c>
      <c r="C356" t="s">
        <v>28</v>
      </c>
      <c r="D356" t="s">
        <v>29</v>
      </c>
      <c r="E356">
        <v>11</v>
      </c>
      <c r="F356">
        <v>1500</v>
      </c>
      <c r="G356">
        <v>16500</v>
      </c>
      <c r="H356" t="s">
        <v>24</v>
      </c>
      <c r="I356" t="s">
        <v>73</v>
      </c>
    </row>
    <row r="357" spans="1:9" x14ac:dyDescent="0.35">
      <c r="A357" t="s">
        <v>766</v>
      </c>
      <c r="B357" t="s">
        <v>767</v>
      </c>
      <c r="C357" t="s">
        <v>28</v>
      </c>
      <c r="D357" t="s">
        <v>29</v>
      </c>
      <c r="E357">
        <v>15</v>
      </c>
      <c r="F357">
        <v>1500</v>
      </c>
      <c r="G357">
        <v>22500</v>
      </c>
      <c r="H357" t="s">
        <v>123</v>
      </c>
      <c r="I357" t="s">
        <v>66</v>
      </c>
    </row>
    <row r="358" spans="1:9" x14ac:dyDescent="0.35">
      <c r="A358" t="s">
        <v>768</v>
      </c>
      <c r="B358" t="s">
        <v>769</v>
      </c>
      <c r="C358" t="s">
        <v>89</v>
      </c>
      <c r="D358" t="s">
        <v>90</v>
      </c>
      <c r="E358">
        <v>8</v>
      </c>
      <c r="F358">
        <v>1200</v>
      </c>
      <c r="H358" t="s">
        <v>72</v>
      </c>
    </row>
    <row r="359" spans="1:9" x14ac:dyDescent="0.35">
      <c r="A359" t="s">
        <v>770</v>
      </c>
      <c r="B359" t="s">
        <v>771</v>
      </c>
      <c r="C359" t="s">
        <v>60</v>
      </c>
      <c r="D359" t="s">
        <v>38</v>
      </c>
      <c r="E359">
        <v>1</v>
      </c>
      <c r="F359">
        <v>2000</v>
      </c>
      <c r="G359">
        <v>2000</v>
      </c>
      <c r="H359" t="s">
        <v>30</v>
      </c>
      <c r="I359" t="s">
        <v>73</v>
      </c>
    </row>
    <row r="360" spans="1:9" x14ac:dyDescent="0.35">
      <c r="A360" t="s">
        <v>772</v>
      </c>
      <c r="B360" t="s">
        <v>773</v>
      </c>
      <c r="C360" t="s">
        <v>34</v>
      </c>
      <c r="D360" t="s">
        <v>29</v>
      </c>
      <c r="F360">
        <v>5500</v>
      </c>
      <c r="G360">
        <v>82500</v>
      </c>
      <c r="H360" t="s">
        <v>47</v>
      </c>
      <c r="I360" t="s">
        <v>63</v>
      </c>
    </row>
    <row r="361" spans="1:9" x14ac:dyDescent="0.35">
      <c r="A361" t="s">
        <v>774</v>
      </c>
      <c r="B361" t="s">
        <v>775</v>
      </c>
      <c r="C361" t="s">
        <v>50</v>
      </c>
      <c r="D361" t="s">
        <v>12</v>
      </c>
      <c r="E361">
        <v>2</v>
      </c>
      <c r="F361">
        <v>2500</v>
      </c>
      <c r="G361">
        <v>5000</v>
      </c>
      <c r="H361" t="s">
        <v>24</v>
      </c>
      <c r="I361" t="s">
        <v>54</v>
      </c>
    </row>
    <row r="362" spans="1:9" x14ac:dyDescent="0.35">
      <c r="A362" t="s">
        <v>776</v>
      </c>
      <c r="B362" t="s">
        <v>777</v>
      </c>
      <c r="C362" t="s">
        <v>315</v>
      </c>
      <c r="D362" t="s">
        <v>12</v>
      </c>
      <c r="E362">
        <v>2</v>
      </c>
      <c r="F362">
        <v>1800</v>
      </c>
      <c r="G362">
        <v>3600</v>
      </c>
      <c r="H362" t="s">
        <v>13</v>
      </c>
      <c r="I362" t="s">
        <v>76</v>
      </c>
    </row>
    <row r="363" spans="1:9" x14ac:dyDescent="0.35">
      <c r="A363" t="s">
        <v>778</v>
      </c>
      <c r="B363" t="s">
        <v>779</v>
      </c>
      <c r="C363" t="s">
        <v>28</v>
      </c>
      <c r="D363" t="s">
        <v>29</v>
      </c>
      <c r="E363">
        <v>6</v>
      </c>
      <c r="F363">
        <v>1500</v>
      </c>
      <c r="G363">
        <v>9000</v>
      </c>
      <c r="H363" t="s">
        <v>39</v>
      </c>
      <c r="I363" t="s">
        <v>66</v>
      </c>
    </row>
    <row r="364" spans="1:9" x14ac:dyDescent="0.35">
      <c r="A364" t="s">
        <v>780</v>
      </c>
      <c r="B364" t="s">
        <v>781</v>
      </c>
      <c r="C364" t="s">
        <v>146</v>
      </c>
      <c r="D364" t="s">
        <v>12</v>
      </c>
      <c r="E364">
        <v>7</v>
      </c>
      <c r="F364">
        <v>3000</v>
      </c>
      <c r="G364">
        <v>21000</v>
      </c>
      <c r="H364" t="s">
        <v>79</v>
      </c>
      <c r="I364" t="s">
        <v>14</v>
      </c>
    </row>
    <row r="365" spans="1:9" x14ac:dyDescent="0.35">
      <c r="A365" t="s">
        <v>782</v>
      </c>
      <c r="B365" t="s">
        <v>783</v>
      </c>
      <c r="C365" t="s">
        <v>21</v>
      </c>
      <c r="D365" t="s">
        <v>210</v>
      </c>
      <c r="E365">
        <v>12</v>
      </c>
      <c r="F365" t="s">
        <v>23</v>
      </c>
      <c r="G365">
        <v>12000</v>
      </c>
      <c r="H365" t="s">
        <v>53</v>
      </c>
      <c r="I365" t="s">
        <v>31</v>
      </c>
    </row>
    <row r="366" spans="1:9" x14ac:dyDescent="0.35">
      <c r="A366" t="s">
        <v>784</v>
      </c>
      <c r="B366" t="s">
        <v>785</v>
      </c>
      <c r="C366" t="s">
        <v>11</v>
      </c>
      <c r="D366" t="s">
        <v>12</v>
      </c>
      <c r="E366">
        <v>12</v>
      </c>
      <c r="F366">
        <v>1800</v>
      </c>
      <c r="G366">
        <v>21600</v>
      </c>
      <c r="H366" t="s">
        <v>239</v>
      </c>
      <c r="I366" t="s">
        <v>107</v>
      </c>
    </row>
    <row r="367" spans="1:9" x14ac:dyDescent="0.35">
      <c r="A367" t="s">
        <v>786</v>
      </c>
      <c r="B367" t="s">
        <v>787</v>
      </c>
      <c r="C367" t="s">
        <v>11</v>
      </c>
      <c r="D367" t="s">
        <v>12</v>
      </c>
      <c r="E367">
        <v>11</v>
      </c>
      <c r="F367">
        <v>1800</v>
      </c>
      <c r="G367">
        <v>19800</v>
      </c>
      <c r="H367" t="s">
        <v>53</v>
      </c>
      <c r="I367" t="s">
        <v>14</v>
      </c>
    </row>
    <row r="368" spans="1:9" x14ac:dyDescent="0.35">
      <c r="A368" t="s">
        <v>788</v>
      </c>
      <c r="B368" t="s">
        <v>10</v>
      </c>
      <c r="C368" t="s">
        <v>28</v>
      </c>
      <c r="D368" t="s">
        <v>29</v>
      </c>
      <c r="E368">
        <v>9</v>
      </c>
      <c r="F368">
        <v>1500</v>
      </c>
      <c r="G368">
        <v>13500</v>
      </c>
      <c r="H368" t="s">
        <v>123</v>
      </c>
      <c r="I368" t="s">
        <v>107</v>
      </c>
    </row>
    <row r="369" spans="1:9" x14ac:dyDescent="0.35">
      <c r="A369" t="s">
        <v>789</v>
      </c>
      <c r="B369" t="s">
        <v>16</v>
      </c>
      <c r="C369" t="s">
        <v>89</v>
      </c>
      <c r="D369" t="s">
        <v>90</v>
      </c>
      <c r="E369">
        <v>14</v>
      </c>
      <c r="F369">
        <v>1200</v>
      </c>
      <c r="G369">
        <v>16800</v>
      </c>
      <c r="H369" t="s">
        <v>43</v>
      </c>
      <c r="I369" t="s">
        <v>63</v>
      </c>
    </row>
    <row r="370" spans="1:9" x14ac:dyDescent="0.35">
      <c r="A370" t="s">
        <v>790</v>
      </c>
      <c r="B370" t="s">
        <v>20</v>
      </c>
      <c r="C370" t="s">
        <v>21</v>
      </c>
      <c r="D370" t="s">
        <v>22</v>
      </c>
      <c r="E370">
        <v>8</v>
      </c>
      <c r="F370">
        <v>1000</v>
      </c>
      <c r="G370">
        <v>8000</v>
      </c>
      <c r="H370" t="s">
        <v>103</v>
      </c>
      <c r="I370" t="s">
        <v>31</v>
      </c>
    </row>
    <row r="371" spans="1:9" x14ac:dyDescent="0.35">
      <c r="A371" t="s">
        <v>791</v>
      </c>
      <c r="B371" t="s">
        <v>27</v>
      </c>
      <c r="C371" t="s">
        <v>34</v>
      </c>
      <c r="D371" t="s">
        <v>29</v>
      </c>
      <c r="E371">
        <v>-3</v>
      </c>
      <c r="F371">
        <v>5500</v>
      </c>
      <c r="G371">
        <v>5500</v>
      </c>
      <c r="H371" t="s">
        <v>30</v>
      </c>
      <c r="I371" t="s">
        <v>31</v>
      </c>
    </row>
    <row r="372" spans="1:9" x14ac:dyDescent="0.35">
      <c r="A372" t="s">
        <v>792</v>
      </c>
      <c r="B372" t="s">
        <v>33</v>
      </c>
      <c r="C372" t="s">
        <v>50</v>
      </c>
      <c r="D372" t="s">
        <v>12</v>
      </c>
      <c r="E372">
        <v>15</v>
      </c>
      <c r="F372">
        <v>2500</v>
      </c>
      <c r="G372">
        <v>37500</v>
      </c>
      <c r="H372" t="s">
        <v>53</v>
      </c>
      <c r="I372" t="s">
        <v>14</v>
      </c>
    </row>
    <row r="373" spans="1:9" x14ac:dyDescent="0.35">
      <c r="A373" t="s">
        <v>793</v>
      </c>
      <c r="B373" t="s">
        <v>36</v>
      </c>
      <c r="C373" t="s">
        <v>11</v>
      </c>
      <c r="D373" t="s">
        <v>12</v>
      </c>
      <c r="E373">
        <v>5</v>
      </c>
      <c r="F373">
        <v>1800</v>
      </c>
      <c r="G373">
        <v>9000</v>
      </c>
      <c r="H373" t="s">
        <v>47</v>
      </c>
      <c r="I373" t="s">
        <v>76</v>
      </c>
    </row>
    <row r="374" spans="1:9" x14ac:dyDescent="0.35">
      <c r="A374" t="s">
        <v>794</v>
      </c>
      <c r="B374" t="s">
        <v>42</v>
      </c>
      <c r="C374" t="s">
        <v>21</v>
      </c>
      <c r="D374" t="s">
        <v>22</v>
      </c>
      <c r="E374">
        <v>3</v>
      </c>
      <c r="F374">
        <v>1000</v>
      </c>
      <c r="G374">
        <v>3000</v>
      </c>
      <c r="H374" t="s">
        <v>30</v>
      </c>
      <c r="I374" t="s">
        <v>54</v>
      </c>
    </row>
    <row r="375" spans="1:9" x14ac:dyDescent="0.35">
      <c r="A375" t="s">
        <v>795</v>
      </c>
      <c r="B375" t="s">
        <v>45</v>
      </c>
      <c r="C375" t="s">
        <v>28</v>
      </c>
      <c r="D375" t="s">
        <v>29</v>
      </c>
      <c r="E375">
        <v>11</v>
      </c>
      <c r="F375">
        <v>1500</v>
      </c>
      <c r="G375">
        <v>16500</v>
      </c>
      <c r="H375" t="s">
        <v>18</v>
      </c>
      <c r="I375" t="s">
        <v>63</v>
      </c>
    </row>
    <row r="376" spans="1:9" x14ac:dyDescent="0.35">
      <c r="A376" t="s">
        <v>796</v>
      </c>
      <c r="B376" t="s">
        <v>797</v>
      </c>
      <c r="C376" t="s">
        <v>17</v>
      </c>
      <c r="D376" t="s">
        <v>12</v>
      </c>
      <c r="E376">
        <v>7</v>
      </c>
      <c r="F376">
        <v>3000</v>
      </c>
      <c r="G376">
        <v>21000</v>
      </c>
      <c r="H376" t="s">
        <v>53</v>
      </c>
      <c r="I376" t="s">
        <v>107</v>
      </c>
    </row>
    <row r="377" spans="1:9" x14ac:dyDescent="0.35">
      <c r="A377" t="s">
        <v>798</v>
      </c>
      <c r="B377" t="s">
        <v>52</v>
      </c>
      <c r="C377" t="s">
        <v>21</v>
      </c>
      <c r="D377" t="s">
        <v>210</v>
      </c>
      <c r="E377">
        <v>6</v>
      </c>
      <c r="F377">
        <v>1000</v>
      </c>
      <c r="G377">
        <v>6000</v>
      </c>
      <c r="H377" t="s">
        <v>47</v>
      </c>
      <c r="I377" t="s">
        <v>63</v>
      </c>
    </row>
    <row r="378" spans="1:9" x14ac:dyDescent="0.35">
      <c r="A378" t="s">
        <v>799</v>
      </c>
      <c r="B378" t="s">
        <v>56</v>
      </c>
      <c r="C378" t="s">
        <v>17</v>
      </c>
      <c r="D378" t="s">
        <v>12</v>
      </c>
      <c r="E378">
        <v>14</v>
      </c>
      <c r="F378">
        <v>3000</v>
      </c>
      <c r="G378">
        <v>42000</v>
      </c>
      <c r="H378" t="s">
        <v>53</v>
      </c>
      <c r="I378" t="s">
        <v>25</v>
      </c>
    </row>
    <row r="379" spans="1:9" x14ac:dyDescent="0.35">
      <c r="A379" t="s">
        <v>800</v>
      </c>
      <c r="B379" t="s">
        <v>59</v>
      </c>
      <c r="C379" t="s">
        <v>34</v>
      </c>
      <c r="D379" t="s">
        <v>29</v>
      </c>
      <c r="E379">
        <v>9</v>
      </c>
      <c r="F379">
        <v>5500</v>
      </c>
      <c r="G379">
        <v>49500</v>
      </c>
      <c r="H379" t="s">
        <v>39</v>
      </c>
      <c r="I379" t="s">
        <v>14</v>
      </c>
    </row>
    <row r="380" spans="1:9" x14ac:dyDescent="0.35">
      <c r="A380" t="s">
        <v>801</v>
      </c>
      <c r="B380" t="s">
        <v>62</v>
      </c>
      <c r="C380" t="s">
        <v>50</v>
      </c>
      <c r="D380" t="s">
        <v>12</v>
      </c>
      <c r="E380">
        <v>2</v>
      </c>
      <c r="F380">
        <v>2500</v>
      </c>
      <c r="G380">
        <v>5000</v>
      </c>
      <c r="H380" t="s">
        <v>18</v>
      </c>
      <c r="I380" t="s">
        <v>63</v>
      </c>
    </row>
    <row r="381" spans="1:9" x14ac:dyDescent="0.35">
      <c r="A381" t="s">
        <v>802</v>
      </c>
      <c r="B381" t="s">
        <v>65</v>
      </c>
      <c r="C381" t="s">
        <v>37</v>
      </c>
      <c r="D381" t="s">
        <v>38</v>
      </c>
      <c r="E381">
        <v>3</v>
      </c>
      <c r="F381" t="s">
        <v>164</v>
      </c>
      <c r="G381">
        <v>6000</v>
      </c>
      <c r="H381" t="s">
        <v>79</v>
      </c>
      <c r="I381" t="s">
        <v>76</v>
      </c>
    </row>
    <row r="382" spans="1:9" x14ac:dyDescent="0.35">
      <c r="A382" t="s">
        <v>803</v>
      </c>
      <c r="B382" t="s">
        <v>68</v>
      </c>
      <c r="C382" t="s">
        <v>50</v>
      </c>
      <c r="D382" t="s">
        <v>12</v>
      </c>
      <c r="E382">
        <v>1</v>
      </c>
      <c r="F382">
        <v>2500</v>
      </c>
      <c r="G382">
        <v>2500</v>
      </c>
      <c r="H382" t="s">
        <v>13</v>
      </c>
      <c r="I382" t="s">
        <v>66</v>
      </c>
    </row>
    <row r="383" spans="1:9" x14ac:dyDescent="0.35">
      <c r="A383" t="s">
        <v>804</v>
      </c>
      <c r="B383" t="s">
        <v>71</v>
      </c>
      <c r="C383" t="s">
        <v>21</v>
      </c>
      <c r="D383" t="s">
        <v>22</v>
      </c>
      <c r="E383">
        <v>11</v>
      </c>
      <c r="F383" t="s">
        <v>23</v>
      </c>
      <c r="G383">
        <v>11000</v>
      </c>
      <c r="H383" t="s">
        <v>103</v>
      </c>
      <c r="I383" t="s">
        <v>54</v>
      </c>
    </row>
    <row r="384" spans="1:9" x14ac:dyDescent="0.35">
      <c r="A384" t="s">
        <v>805</v>
      </c>
      <c r="B384" t="s">
        <v>75</v>
      </c>
      <c r="C384" t="s">
        <v>21</v>
      </c>
      <c r="D384" t="s">
        <v>22</v>
      </c>
      <c r="E384">
        <v>13</v>
      </c>
      <c r="F384">
        <v>1000</v>
      </c>
      <c r="G384">
        <v>13000</v>
      </c>
      <c r="H384" t="s">
        <v>30</v>
      </c>
      <c r="I384" t="s">
        <v>14</v>
      </c>
    </row>
    <row r="385" spans="1:9" x14ac:dyDescent="0.35">
      <c r="A385" t="s">
        <v>806</v>
      </c>
      <c r="B385" t="s">
        <v>78</v>
      </c>
      <c r="C385" t="s">
        <v>89</v>
      </c>
      <c r="D385" t="s">
        <v>90</v>
      </c>
      <c r="E385">
        <v>5</v>
      </c>
      <c r="F385">
        <v>1200</v>
      </c>
      <c r="G385">
        <v>6000</v>
      </c>
      <c r="H385" t="s">
        <v>39</v>
      </c>
      <c r="I385" t="s">
        <v>54</v>
      </c>
    </row>
    <row r="386" spans="1:9" x14ac:dyDescent="0.35">
      <c r="A386" t="s">
        <v>807</v>
      </c>
      <c r="B386" t="s">
        <v>81</v>
      </c>
      <c r="C386" t="s">
        <v>21</v>
      </c>
      <c r="D386" t="s">
        <v>22</v>
      </c>
      <c r="E386">
        <v>14</v>
      </c>
      <c r="F386">
        <v>1000</v>
      </c>
      <c r="G386">
        <v>14000</v>
      </c>
      <c r="H386" t="s">
        <v>47</v>
      </c>
      <c r="I386" t="s">
        <v>25</v>
      </c>
    </row>
    <row r="387" spans="1:9" x14ac:dyDescent="0.35">
      <c r="A387" t="s">
        <v>808</v>
      </c>
      <c r="B387" t="s">
        <v>83</v>
      </c>
      <c r="C387" t="s">
        <v>11</v>
      </c>
      <c r="D387" t="s">
        <v>12</v>
      </c>
      <c r="E387">
        <v>12</v>
      </c>
      <c r="F387">
        <v>1800</v>
      </c>
      <c r="G387">
        <v>21600</v>
      </c>
      <c r="H387" t="s">
        <v>103</v>
      </c>
      <c r="I387" t="s">
        <v>107</v>
      </c>
    </row>
    <row r="388" spans="1:9" x14ac:dyDescent="0.35">
      <c r="A388" t="s">
        <v>809</v>
      </c>
      <c r="B388" t="s">
        <v>85</v>
      </c>
      <c r="C388" t="s">
        <v>60</v>
      </c>
      <c r="D388" t="s">
        <v>38</v>
      </c>
      <c r="E388">
        <v>6</v>
      </c>
      <c r="F388">
        <v>2000</v>
      </c>
      <c r="G388">
        <v>12000</v>
      </c>
      <c r="H388" t="s">
        <v>39</v>
      </c>
      <c r="I388" t="s">
        <v>107</v>
      </c>
    </row>
    <row r="389" spans="1:9" x14ac:dyDescent="0.35">
      <c r="A389" t="s">
        <v>810</v>
      </c>
      <c r="B389" t="s">
        <v>88</v>
      </c>
      <c r="C389" t="s">
        <v>11</v>
      </c>
      <c r="D389" t="s">
        <v>12</v>
      </c>
      <c r="E389">
        <v>9</v>
      </c>
      <c r="F389">
        <v>1800</v>
      </c>
      <c r="G389">
        <v>16200</v>
      </c>
      <c r="H389" t="s">
        <v>103</v>
      </c>
      <c r="I389" t="s">
        <v>14</v>
      </c>
    </row>
    <row r="390" spans="1:9" x14ac:dyDescent="0.35">
      <c r="A390" t="s">
        <v>811</v>
      </c>
      <c r="B390" t="s">
        <v>92</v>
      </c>
      <c r="C390" t="s">
        <v>28</v>
      </c>
      <c r="D390" t="s">
        <v>29</v>
      </c>
      <c r="E390">
        <v>12</v>
      </c>
      <c r="F390">
        <v>1500</v>
      </c>
      <c r="G390">
        <v>18000</v>
      </c>
      <c r="H390" t="s">
        <v>43</v>
      </c>
      <c r="I390" t="s">
        <v>40</v>
      </c>
    </row>
    <row r="391" spans="1:9" x14ac:dyDescent="0.35">
      <c r="A391" t="s">
        <v>812</v>
      </c>
      <c r="B391" t="s">
        <v>94</v>
      </c>
      <c r="C391" t="s">
        <v>50</v>
      </c>
      <c r="D391" t="s">
        <v>12</v>
      </c>
      <c r="E391">
        <v>11</v>
      </c>
      <c r="F391">
        <v>2500</v>
      </c>
      <c r="G391">
        <v>27500</v>
      </c>
      <c r="H391" t="s">
        <v>43</v>
      </c>
      <c r="I391" t="s">
        <v>63</v>
      </c>
    </row>
    <row r="392" spans="1:9" x14ac:dyDescent="0.35">
      <c r="A392" t="s">
        <v>813</v>
      </c>
      <c r="B392" t="s">
        <v>96</v>
      </c>
      <c r="C392" t="s">
        <v>11</v>
      </c>
      <c r="D392" t="s">
        <v>12</v>
      </c>
      <c r="E392">
        <v>9</v>
      </c>
      <c r="F392">
        <v>1800</v>
      </c>
      <c r="G392">
        <v>16200</v>
      </c>
      <c r="H392" t="s">
        <v>13</v>
      </c>
      <c r="I392" t="s">
        <v>107</v>
      </c>
    </row>
    <row r="393" spans="1:9" x14ac:dyDescent="0.35">
      <c r="A393" t="s">
        <v>814</v>
      </c>
      <c r="B393" t="s">
        <v>98</v>
      </c>
      <c r="C393" t="s">
        <v>21</v>
      </c>
      <c r="D393" t="s">
        <v>22</v>
      </c>
      <c r="E393">
        <v>9</v>
      </c>
      <c r="F393">
        <v>1000</v>
      </c>
      <c r="G393">
        <v>9000</v>
      </c>
      <c r="H393" t="s">
        <v>39</v>
      </c>
    </row>
    <row r="394" spans="1:9" x14ac:dyDescent="0.35">
      <c r="A394" t="s">
        <v>815</v>
      </c>
      <c r="B394" t="s">
        <v>100</v>
      </c>
      <c r="C394" t="s">
        <v>89</v>
      </c>
      <c r="D394" t="s">
        <v>90</v>
      </c>
      <c r="E394">
        <v>1</v>
      </c>
      <c r="F394">
        <v>1200</v>
      </c>
      <c r="G394">
        <v>1200</v>
      </c>
      <c r="H394" t="s">
        <v>79</v>
      </c>
      <c r="I394" t="s">
        <v>73</v>
      </c>
    </row>
    <row r="395" spans="1:9" x14ac:dyDescent="0.35">
      <c r="A395" t="s">
        <v>816</v>
      </c>
      <c r="B395" t="s">
        <v>102</v>
      </c>
      <c r="C395" t="s">
        <v>17</v>
      </c>
      <c r="D395" t="s">
        <v>12</v>
      </c>
      <c r="E395">
        <v>10</v>
      </c>
      <c r="F395">
        <v>3000</v>
      </c>
      <c r="G395">
        <v>30000</v>
      </c>
      <c r="H395" t="s">
        <v>30</v>
      </c>
      <c r="I395" t="s">
        <v>54</v>
      </c>
    </row>
    <row r="396" spans="1:9" x14ac:dyDescent="0.35">
      <c r="A396" t="s">
        <v>817</v>
      </c>
      <c r="B396" t="s">
        <v>105</v>
      </c>
      <c r="C396" t="s">
        <v>151</v>
      </c>
      <c r="D396" t="s">
        <v>29</v>
      </c>
      <c r="E396">
        <v>4</v>
      </c>
      <c r="F396">
        <v>5500</v>
      </c>
      <c r="G396">
        <v>22000</v>
      </c>
      <c r="H396" t="s">
        <v>53</v>
      </c>
      <c r="I396" t="s">
        <v>25</v>
      </c>
    </row>
    <row r="397" spans="1:9" x14ac:dyDescent="0.35">
      <c r="A397" t="s">
        <v>818</v>
      </c>
      <c r="B397" t="s">
        <v>109</v>
      </c>
      <c r="C397" t="s">
        <v>34</v>
      </c>
      <c r="D397" t="s">
        <v>29</v>
      </c>
      <c r="F397">
        <v>5500</v>
      </c>
      <c r="G397">
        <v>16500</v>
      </c>
      <c r="H397" t="s">
        <v>72</v>
      </c>
      <c r="I397" t="s">
        <v>40</v>
      </c>
    </row>
    <row r="398" spans="1:9" x14ac:dyDescent="0.35">
      <c r="B398" t="s">
        <v>111</v>
      </c>
      <c r="C398" t="s">
        <v>50</v>
      </c>
      <c r="D398" t="s">
        <v>12</v>
      </c>
      <c r="E398">
        <v>5</v>
      </c>
      <c r="F398">
        <v>2500</v>
      </c>
      <c r="G398">
        <v>12500</v>
      </c>
      <c r="H398" t="s">
        <v>30</v>
      </c>
      <c r="I398" t="s">
        <v>73</v>
      </c>
    </row>
    <row r="399" spans="1:9" x14ac:dyDescent="0.35">
      <c r="A399" t="s">
        <v>819</v>
      </c>
      <c r="B399" t="s">
        <v>114</v>
      </c>
      <c r="C399" t="s">
        <v>50</v>
      </c>
      <c r="D399" t="s">
        <v>12</v>
      </c>
      <c r="E399">
        <v>11</v>
      </c>
      <c r="F399">
        <v>2500</v>
      </c>
      <c r="G399">
        <v>27500</v>
      </c>
      <c r="H399" t="s">
        <v>43</v>
      </c>
      <c r="I399" t="s">
        <v>25</v>
      </c>
    </row>
    <row r="400" spans="1:9" x14ac:dyDescent="0.35">
      <c r="A400" t="s">
        <v>820</v>
      </c>
      <c r="B400" t="s">
        <v>116</v>
      </c>
      <c r="C400" t="s">
        <v>21</v>
      </c>
      <c r="D400" t="s">
        <v>22</v>
      </c>
      <c r="E400">
        <v>2</v>
      </c>
      <c r="F400">
        <v>1000</v>
      </c>
      <c r="G400">
        <v>2000</v>
      </c>
      <c r="H400" t="s">
        <v>30</v>
      </c>
      <c r="I400" t="s">
        <v>63</v>
      </c>
    </row>
    <row r="401" spans="1:9" x14ac:dyDescent="0.35">
      <c r="A401" t="s">
        <v>821</v>
      </c>
      <c r="B401" t="s">
        <v>118</v>
      </c>
      <c r="C401" t="s">
        <v>60</v>
      </c>
      <c r="D401" t="s">
        <v>38</v>
      </c>
      <c r="E401">
        <v>9</v>
      </c>
      <c r="F401">
        <v>2000</v>
      </c>
      <c r="G401">
        <v>18000</v>
      </c>
      <c r="H401" t="s">
        <v>43</v>
      </c>
      <c r="I401" t="s">
        <v>31</v>
      </c>
    </row>
    <row r="402" spans="1:9" x14ac:dyDescent="0.35">
      <c r="A402" t="s">
        <v>822</v>
      </c>
      <c r="B402" t="s">
        <v>120</v>
      </c>
      <c r="C402" t="s">
        <v>34</v>
      </c>
      <c r="D402" t="s">
        <v>29</v>
      </c>
      <c r="E402">
        <v>2</v>
      </c>
      <c r="F402">
        <v>5500</v>
      </c>
      <c r="G402">
        <v>11000</v>
      </c>
      <c r="H402" t="s">
        <v>30</v>
      </c>
      <c r="I402" t="s">
        <v>40</v>
      </c>
    </row>
    <row r="403" spans="1:9" x14ac:dyDescent="0.35">
      <c r="A403" t="s">
        <v>823</v>
      </c>
      <c r="B403" t="s">
        <v>122</v>
      </c>
      <c r="C403" t="s">
        <v>11</v>
      </c>
      <c r="D403" t="s">
        <v>12</v>
      </c>
      <c r="E403">
        <v>10</v>
      </c>
      <c r="F403">
        <v>1800</v>
      </c>
      <c r="G403">
        <v>18000</v>
      </c>
      <c r="H403" t="s">
        <v>79</v>
      </c>
      <c r="I403" t="s">
        <v>66</v>
      </c>
    </row>
    <row r="404" spans="1:9" x14ac:dyDescent="0.35">
      <c r="A404" t="s">
        <v>824</v>
      </c>
      <c r="B404" t="s">
        <v>125</v>
      </c>
      <c r="C404" t="s">
        <v>28</v>
      </c>
      <c r="D404" t="s">
        <v>29</v>
      </c>
      <c r="E404">
        <v>10</v>
      </c>
      <c r="F404">
        <v>1500</v>
      </c>
      <c r="G404">
        <v>15000</v>
      </c>
      <c r="H404" t="s">
        <v>18</v>
      </c>
      <c r="I404" t="s">
        <v>25</v>
      </c>
    </row>
    <row r="405" spans="1:9" x14ac:dyDescent="0.35">
      <c r="A405" t="s">
        <v>825</v>
      </c>
      <c r="B405" t="s">
        <v>127</v>
      </c>
      <c r="C405" t="s">
        <v>28</v>
      </c>
      <c r="D405" t="s">
        <v>29</v>
      </c>
      <c r="E405">
        <v>13</v>
      </c>
      <c r="F405" t="s">
        <v>203</v>
      </c>
      <c r="G405">
        <v>19500</v>
      </c>
      <c r="H405" t="s">
        <v>47</v>
      </c>
      <c r="I405" t="s">
        <v>66</v>
      </c>
    </row>
    <row r="406" spans="1:9" x14ac:dyDescent="0.35">
      <c r="A406" t="s">
        <v>826</v>
      </c>
      <c r="B406" t="s">
        <v>129</v>
      </c>
      <c r="C406" t="s">
        <v>28</v>
      </c>
      <c r="D406" t="s">
        <v>29</v>
      </c>
      <c r="F406">
        <v>1500</v>
      </c>
      <c r="G406">
        <v>21000</v>
      </c>
      <c r="H406" t="s">
        <v>18</v>
      </c>
      <c r="I406" t="s">
        <v>107</v>
      </c>
    </row>
    <row r="407" spans="1:9" x14ac:dyDescent="0.35">
      <c r="A407" t="s">
        <v>827</v>
      </c>
      <c r="B407" t="s">
        <v>131</v>
      </c>
      <c r="C407" t="s">
        <v>28</v>
      </c>
      <c r="D407" t="s">
        <v>29</v>
      </c>
      <c r="E407">
        <v>10</v>
      </c>
      <c r="F407">
        <v>1500</v>
      </c>
      <c r="H407" t="s">
        <v>24</v>
      </c>
      <c r="I407" t="s">
        <v>66</v>
      </c>
    </row>
    <row r="408" spans="1:9" x14ac:dyDescent="0.35">
      <c r="A408" t="s">
        <v>828</v>
      </c>
      <c r="B408" t="s">
        <v>133</v>
      </c>
      <c r="C408" t="s">
        <v>21</v>
      </c>
      <c r="D408" t="s">
        <v>22</v>
      </c>
      <c r="E408">
        <v>3</v>
      </c>
      <c r="F408">
        <v>1000</v>
      </c>
      <c r="G408">
        <v>3000</v>
      </c>
      <c r="H408" t="s">
        <v>43</v>
      </c>
      <c r="I408" t="s">
        <v>76</v>
      </c>
    </row>
    <row r="409" spans="1:9" x14ac:dyDescent="0.35">
      <c r="A409" t="s">
        <v>829</v>
      </c>
      <c r="B409" t="s">
        <v>135</v>
      </c>
      <c r="C409" t="s">
        <v>37</v>
      </c>
      <c r="D409" t="s">
        <v>38</v>
      </c>
      <c r="E409">
        <v>12</v>
      </c>
      <c r="F409">
        <v>2000</v>
      </c>
      <c r="G409">
        <v>24000</v>
      </c>
      <c r="H409" t="s">
        <v>24</v>
      </c>
      <c r="I409" t="s">
        <v>54</v>
      </c>
    </row>
    <row r="410" spans="1:9" x14ac:dyDescent="0.35">
      <c r="A410" t="s">
        <v>830</v>
      </c>
      <c r="B410" t="s">
        <v>137</v>
      </c>
      <c r="C410" t="s">
        <v>34</v>
      </c>
      <c r="D410" t="s">
        <v>29</v>
      </c>
      <c r="E410">
        <v>4</v>
      </c>
      <c r="F410">
        <v>5500</v>
      </c>
      <c r="G410">
        <v>22000</v>
      </c>
      <c r="H410" t="s">
        <v>47</v>
      </c>
      <c r="I410" t="s">
        <v>107</v>
      </c>
    </row>
    <row r="411" spans="1:9" x14ac:dyDescent="0.35">
      <c r="A411" t="s">
        <v>831</v>
      </c>
      <c r="B411" t="s">
        <v>138</v>
      </c>
      <c r="C411" t="s">
        <v>60</v>
      </c>
      <c r="D411" t="s">
        <v>832</v>
      </c>
      <c r="E411">
        <v>2</v>
      </c>
      <c r="F411">
        <v>2000</v>
      </c>
      <c r="G411">
        <v>4000</v>
      </c>
      <c r="H411" t="s">
        <v>18</v>
      </c>
      <c r="I411" t="s">
        <v>54</v>
      </c>
    </row>
    <row r="412" spans="1:9" x14ac:dyDescent="0.35">
      <c r="A412" t="s">
        <v>833</v>
      </c>
      <c r="B412" t="s">
        <v>140</v>
      </c>
      <c r="C412" t="s">
        <v>17</v>
      </c>
      <c r="D412" t="s">
        <v>12</v>
      </c>
      <c r="E412">
        <v>9</v>
      </c>
      <c r="F412">
        <v>3000</v>
      </c>
      <c r="G412">
        <v>27000</v>
      </c>
      <c r="H412" t="s">
        <v>72</v>
      </c>
      <c r="I412" t="s">
        <v>54</v>
      </c>
    </row>
    <row r="413" spans="1:9" x14ac:dyDescent="0.35">
      <c r="A413" t="s">
        <v>834</v>
      </c>
      <c r="B413" t="s">
        <v>142</v>
      </c>
      <c r="C413" t="s">
        <v>89</v>
      </c>
      <c r="D413" t="s">
        <v>90</v>
      </c>
      <c r="E413">
        <v>10</v>
      </c>
      <c r="F413">
        <v>1200</v>
      </c>
      <c r="G413">
        <v>12000</v>
      </c>
      <c r="H413" t="s">
        <v>24</v>
      </c>
    </row>
    <row r="414" spans="1:9" x14ac:dyDescent="0.35">
      <c r="A414" t="s">
        <v>835</v>
      </c>
      <c r="B414" t="s">
        <v>144</v>
      </c>
      <c r="C414" t="s">
        <v>50</v>
      </c>
      <c r="D414" t="s">
        <v>12</v>
      </c>
      <c r="F414">
        <v>2500</v>
      </c>
      <c r="G414">
        <v>25000</v>
      </c>
      <c r="H414" t="s">
        <v>18</v>
      </c>
      <c r="I414" t="s">
        <v>40</v>
      </c>
    </row>
    <row r="415" spans="1:9" x14ac:dyDescent="0.35">
      <c r="A415" t="s">
        <v>836</v>
      </c>
      <c r="B415" t="s">
        <v>837</v>
      </c>
      <c r="C415" t="s">
        <v>60</v>
      </c>
      <c r="D415" t="s">
        <v>38</v>
      </c>
      <c r="E415">
        <v>13</v>
      </c>
      <c r="F415">
        <v>2000</v>
      </c>
      <c r="H415" t="s">
        <v>18</v>
      </c>
      <c r="I415" t="s">
        <v>63</v>
      </c>
    </row>
    <row r="416" spans="1:9" x14ac:dyDescent="0.35">
      <c r="A416" t="s">
        <v>838</v>
      </c>
      <c r="B416" t="s">
        <v>148</v>
      </c>
      <c r="C416" t="s">
        <v>34</v>
      </c>
      <c r="D416" t="s">
        <v>29</v>
      </c>
      <c r="E416">
        <v>8</v>
      </c>
      <c r="F416">
        <v>5500</v>
      </c>
      <c r="G416">
        <v>44000</v>
      </c>
      <c r="H416" t="s">
        <v>53</v>
      </c>
      <c r="I416" t="s">
        <v>76</v>
      </c>
    </row>
    <row r="417" spans="1:9" x14ac:dyDescent="0.35">
      <c r="A417" t="s">
        <v>839</v>
      </c>
      <c r="B417" t="s">
        <v>150</v>
      </c>
      <c r="C417" t="s">
        <v>28</v>
      </c>
      <c r="D417" t="s">
        <v>29</v>
      </c>
      <c r="E417">
        <v>7</v>
      </c>
      <c r="F417">
        <v>1500</v>
      </c>
      <c r="G417">
        <v>10500</v>
      </c>
      <c r="H417" t="s">
        <v>840</v>
      </c>
      <c r="I417" t="s">
        <v>73</v>
      </c>
    </row>
    <row r="418" spans="1:9" x14ac:dyDescent="0.35">
      <c r="A418" t="s">
        <v>841</v>
      </c>
      <c r="B418" t="s">
        <v>153</v>
      </c>
      <c r="C418" t="s">
        <v>34</v>
      </c>
      <c r="D418" t="s">
        <v>29</v>
      </c>
      <c r="E418">
        <v>4</v>
      </c>
      <c r="F418">
        <v>5500</v>
      </c>
      <c r="G418">
        <v>22000</v>
      </c>
      <c r="H418" t="s">
        <v>79</v>
      </c>
      <c r="I418" t="s">
        <v>31</v>
      </c>
    </row>
    <row r="419" spans="1:9" x14ac:dyDescent="0.35">
      <c r="A419" t="s">
        <v>842</v>
      </c>
      <c r="B419" t="s">
        <v>155</v>
      </c>
      <c r="C419" t="s">
        <v>86</v>
      </c>
      <c r="D419" t="s">
        <v>22</v>
      </c>
      <c r="E419">
        <v>9</v>
      </c>
      <c r="F419">
        <v>1000</v>
      </c>
      <c r="G419">
        <v>9000</v>
      </c>
      <c r="H419" t="s">
        <v>103</v>
      </c>
      <c r="I419" t="s">
        <v>76</v>
      </c>
    </row>
    <row r="420" spans="1:9" x14ac:dyDescent="0.35">
      <c r="A420" t="s">
        <v>843</v>
      </c>
      <c r="B420" t="s">
        <v>157</v>
      </c>
      <c r="C420" t="s">
        <v>89</v>
      </c>
      <c r="D420" t="s">
        <v>90</v>
      </c>
      <c r="E420">
        <v>7</v>
      </c>
      <c r="F420">
        <v>1200</v>
      </c>
      <c r="G420">
        <v>8400</v>
      </c>
      <c r="H420" t="s">
        <v>53</v>
      </c>
      <c r="I420" t="s">
        <v>54</v>
      </c>
    </row>
    <row r="421" spans="1:9" x14ac:dyDescent="0.35">
      <c r="A421" t="s">
        <v>844</v>
      </c>
      <c r="B421" t="s">
        <v>159</v>
      </c>
      <c r="C421" t="s">
        <v>28</v>
      </c>
      <c r="D421" t="s">
        <v>29</v>
      </c>
      <c r="E421">
        <v>12</v>
      </c>
      <c r="F421" t="s">
        <v>203</v>
      </c>
      <c r="G421">
        <v>18000</v>
      </c>
      <c r="H421" t="s">
        <v>24</v>
      </c>
      <c r="I421" t="s">
        <v>14</v>
      </c>
    </row>
    <row r="422" spans="1:9" x14ac:dyDescent="0.35">
      <c r="A422" t="s">
        <v>845</v>
      </c>
      <c r="B422" t="s">
        <v>161</v>
      </c>
      <c r="C422" t="s">
        <v>21</v>
      </c>
      <c r="D422" t="s">
        <v>210</v>
      </c>
      <c r="E422">
        <v>13</v>
      </c>
      <c r="F422">
        <v>1000</v>
      </c>
      <c r="G422">
        <v>13000</v>
      </c>
      <c r="H422" t="s">
        <v>39</v>
      </c>
      <c r="I422" t="s">
        <v>14</v>
      </c>
    </row>
    <row r="423" spans="1:9" x14ac:dyDescent="0.35">
      <c r="A423" t="s">
        <v>846</v>
      </c>
      <c r="B423" t="s">
        <v>163</v>
      </c>
      <c r="C423" t="s">
        <v>21</v>
      </c>
      <c r="D423" t="s">
        <v>22</v>
      </c>
      <c r="E423">
        <v>10</v>
      </c>
      <c r="F423">
        <v>1000</v>
      </c>
      <c r="G423">
        <v>10000</v>
      </c>
      <c r="H423" t="s">
        <v>72</v>
      </c>
      <c r="I423" t="s">
        <v>14</v>
      </c>
    </row>
    <row r="424" spans="1:9" x14ac:dyDescent="0.35">
      <c r="A424" t="s">
        <v>847</v>
      </c>
      <c r="B424" t="s">
        <v>166</v>
      </c>
      <c r="C424" t="s">
        <v>28</v>
      </c>
      <c r="D424" t="s">
        <v>29</v>
      </c>
      <c r="E424">
        <v>3</v>
      </c>
      <c r="F424">
        <v>1500</v>
      </c>
      <c r="G424">
        <v>4500</v>
      </c>
      <c r="H424" t="s">
        <v>24</v>
      </c>
      <c r="I424" t="s">
        <v>31</v>
      </c>
    </row>
    <row r="425" spans="1:9" x14ac:dyDescent="0.35">
      <c r="A425" t="s">
        <v>848</v>
      </c>
      <c r="B425" t="s">
        <v>168</v>
      </c>
      <c r="C425" t="s">
        <v>60</v>
      </c>
      <c r="D425" t="s">
        <v>38</v>
      </c>
      <c r="E425">
        <v>13</v>
      </c>
      <c r="F425">
        <v>2000</v>
      </c>
      <c r="G425">
        <v>26000</v>
      </c>
      <c r="H425" t="s">
        <v>72</v>
      </c>
      <c r="I425" t="s">
        <v>63</v>
      </c>
    </row>
    <row r="426" spans="1:9" x14ac:dyDescent="0.35">
      <c r="A426" t="s">
        <v>849</v>
      </c>
      <c r="B426" t="s">
        <v>170</v>
      </c>
      <c r="C426" t="s">
        <v>28</v>
      </c>
      <c r="D426" t="s">
        <v>29</v>
      </c>
      <c r="E426">
        <v>5</v>
      </c>
      <c r="F426">
        <v>1500</v>
      </c>
      <c r="G426">
        <v>7500</v>
      </c>
      <c r="H426" t="s">
        <v>72</v>
      </c>
      <c r="I426" t="s">
        <v>73</v>
      </c>
    </row>
    <row r="427" spans="1:9" x14ac:dyDescent="0.35">
      <c r="A427" t="s">
        <v>850</v>
      </c>
      <c r="B427" t="s">
        <v>172</v>
      </c>
      <c r="C427" t="s">
        <v>34</v>
      </c>
      <c r="D427" t="s">
        <v>200</v>
      </c>
      <c r="E427">
        <v>6</v>
      </c>
      <c r="F427">
        <v>5500</v>
      </c>
      <c r="G427">
        <v>33000</v>
      </c>
      <c r="H427" t="s">
        <v>79</v>
      </c>
      <c r="I427" t="s">
        <v>107</v>
      </c>
    </row>
    <row r="428" spans="1:9" x14ac:dyDescent="0.35">
      <c r="A428" t="s">
        <v>851</v>
      </c>
      <c r="B428" t="s">
        <v>174</v>
      </c>
      <c r="C428" t="s">
        <v>86</v>
      </c>
      <c r="D428" t="s">
        <v>210</v>
      </c>
      <c r="E428">
        <v>10</v>
      </c>
      <c r="F428">
        <v>1000</v>
      </c>
      <c r="G428">
        <v>10000</v>
      </c>
      <c r="H428" t="s">
        <v>47</v>
      </c>
    </row>
    <row r="429" spans="1:9" x14ac:dyDescent="0.35">
      <c r="A429" t="s">
        <v>852</v>
      </c>
      <c r="B429" t="s">
        <v>853</v>
      </c>
      <c r="C429" t="s">
        <v>21</v>
      </c>
      <c r="D429" t="s">
        <v>22</v>
      </c>
      <c r="E429">
        <v>13</v>
      </c>
      <c r="F429">
        <v>1000</v>
      </c>
      <c r="G429">
        <v>13000</v>
      </c>
      <c r="H429" t="s">
        <v>43</v>
      </c>
      <c r="I429" t="s">
        <v>66</v>
      </c>
    </row>
    <row r="430" spans="1:9" x14ac:dyDescent="0.35">
      <c r="A430" t="s">
        <v>854</v>
      </c>
      <c r="B430" t="s">
        <v>855</v>
      </c>
      <c r="C430" t="s">
        <v>17</v>
      </c>
      <c r="D430" t="s">
        <v>12</v>
      </c>
      <c r="E430">
        <v>7</v>
      </c>
      <c r="F430">
        <v>3000</v>
      </c>
      <c r="G430">
        <v>21000</v>
      </c>
      <c r="H430" t="s">
        <v>53</v>
      </c>
      <c r="I430" t="s">
        <v>63</v>
      </c>
    </row>
    <row r="431" spans="1:9" x14ac:dyDescent="0.35">
      <c r="A431" t="s">
        <v>856</v>
      </c>
      <c r="B431" t="s">
        <v>180</v>
      </c>
      <c r="C431" t="s">
        <v>34</v>
      </c>
      <c r="D431" t="s">
        <v>29</v>
      </c>
      <c r="E431">
        <v>8</v>
      </c>
      <c r="F431">
        <v>5500</v>
      </c>
      <c r="G431">
        <v>44000</v>
      </c>
      <c r="H431" t="s">
        <v>39</v>
      </c>
      <c r="I431" t="s">
        <v>63</v>
      </c>
    </row>
    <row r="432" spans="1:9" x14ac:dyDescent="0.35">
      <c r="A432" t="s">
        <v>857</v>
      </c>
      <c r="B432" t="s">
        <v>182</v>
      </c>
      <c r="C432" t="s">
        <v>50</v>
      </c>
      <c r="D432" t="s">
        <v>12</v>
      </c>
      <c r="F432">
        <v>2500</v>
      </c>
      <c r="G432">
        <v>27500</v>
      </c>
      <c r="H432" t="s">
        <v>123</v>
      </c>
      <c r="I432" t="s">
        <v>14</v>
      </c>
    </row>
    <row r="433" spans="1:9" x14ac:dyDescent="0.35">
      <c r="A433" t="s">
        <v>858</v>
      </c>
      <c r="B433" t="s">
        <v>184</v>
      </c>
      <c r="C433" t="s">
        <v>28</v>
      </c>
      <c r="D433" t="s">
        <v>29</v>
      </c>
      <c r="E433">
        <v>14</v>
      </c>
      <c r="F433">
        <v>1500</v>
      </c>
      <c r="G433">
        <v>21000</v>
      </c>
      <c r="H433" t="s">
        <v>24</v>
      </c>
      <c r="I433" t="s">
        <v>31</v>
      </c>
    </row>
    <row r="434" spans="1:9" x14ac:dyDescent="0.35">
      <c r="A434" t="s">
        <v>859</v>
      </c>
      <c r="B434" t="s">
        <v>186</v>
      </c>
      <c r="C434" t="s">
        <v>21</v>
      </c>
      <c r="D434" t="s">
        <v>22</v>
      </c>
      <c r="E434">
        <v>4</v>
      </c>
      <c r="F434">
        <v>1000</v>
      </c>
      <c r="G434">
        <v>4000</v>
      </c>
      <c r="H434" t="s">
        <v>103</v>
      </c>
      <c r="I434" t="s">
        <v>54</v>
      </c>
    </row>
    <row r="435" spans="1:9" x14ac:dyDescent="0.35">
      <c r="A435" t="s">
        <v>860</v>
      </c>
      <c r="B435" t="s">
        <v>189</v>
      </c>
      <c r="C435" t="s">
        <v>89</v>
      </c>
      <c r="D435" t="s">
        <v>90</v>
      </c>
      <c r="E435">
        <v>14</v>
      </c>
      <c r="F435">
        <v>1200</v>
      </c>
      <c r="G435">
        <v>16800</v>
      </c>
      <c r="H435" t="s">
        <v>103</v>
      </c>
      <c r="I435" t="s">
        <v>25</v>
      </c>
    </row>
    <row r="436" spans="1:9" x14ac:dyDescent="0.35">
      <c r="A436" t="s">
        <v>861</v>
      </c>
      <c r="B436" t="s">
        <v>191</v>
      </c>
      <c r="C436" t="s">
        <v>17</v>
      </c>
      <c r="D436" t="s">
        <v>12</v>
      </c>
      <c r="E436">
        <v>7</v>
      </c>
      <c r="F436">
        <v>3000</v>
      </c>
      <c r="G436">
        <v>21000</v>
      </c>
      <c r="H436" t="s">
        <v>53</v>
      </c>
      <c r="I436" t="s">
        <v>31</v>
      </c>
    </row>
    <row r="437" spans="1:9" x14ac:dyDescent="0.35">
      <c r="A437" t="s">
        <v>862</v>
      </c>
      <c r="B437" t="s">
        <v>193</v>
      </c>
      <c r="C437" t="s">
        <v>34</v>
      </c>
      <c r="D437" t="s">
        <v>29</v>
      </c>
      <c r="E437">
        <v>5</v>
      </c>
      <c r="F437" t="s">
        <v>69</v>
      </c>
      <c r="G437">
        <v>27500</v>
      </c>
      <c r="H437" t="s">
        <v>43</v>
      </c>
      <c r="I437" t="s">
        <v>25</v>
      </c>
    </row>
    <row r="438" spans="1:9" x14ac:dyDescent="0.35">
      <c r="A438" t="s">
        <v>863</v>
      </c>
      <c r="B438" t="s">
        <v>195</v>
      </c>
      <c r="C438" t="s">
        <v>34</v>
      </c>
      <c r="D438" t="s">
        <v>200</v>
      </c>
      <c r="E438">
        <v>-5</v>
      </c>
      <c r="F438">
        <v>5500</v>
      </c>
      <c r="G438">
        <v>82500</v>
      </c>
      <c r="H438" t="s">
        <v>30</v>
      </c>
      <c r="I438" t="s">
        <v>14</v>
      </c>
    </row>
    <row r="439" spans="1:9" x14ac:dyDescent="0.35">
      <c r="A439" t="s">
        <v>864</v>
      </c>
      <c r="B439" t="s">
        <v>197</v>
      </c>
      <c r="C439" t="s">
        <v>28</v>
      </c>
      <c r="D439" t="s">
        <v>29</v>
      </c>
      <c r="E439">
        <v>8</v>
      </c>
      <c r="F439">
        <v>1500</v>
      </c>
      <c r="G439">
        <v>12000</v>
      </c>
      <c r="H439" t="s">
        <v>53</v>
      </c>
      <c r="I439" t="s">
        <v>25</v>
      </c>
    </row>
    <row r="440" spans="1:9" x14ac:dyDescent="0.35">
      <c r="A440" t="s">
        <v>865</v>
      </c>
      <c r="B440" t="s">
        <v>866</v>
      </c>
      <c r="C440" t="s">
        <v>89</v>
      </c>
      <c r="D440" t="s">
        <v>90</v>
      </c>
      <c r="E440">
        <v>4</v>
      </c>
      <c r="F440">
        <v>1200</v>
      </c>
      <c r="G440">
        <v>4800</v>
      </c>
      <c r="H440" t="s">
        <v>30</v>
      </c>
    </row>
    <row r="441" spans="1:9" x14ac:dyDescent="0.35">
      <c r="A441" t="s">
        <v>867</v>
      </c>
      <c r="B441" t="s">
        <v>202</v>
      </c>
      <c r="C441" t="s">
        <v>17</v>
      </c>
      <c r="D441" t="s">
        <v>12</v>
      </c>
      <c r="E441">
        <v>9</v>
      </c>
      <c r="F441">
        <v>3000</v>
      </c>
      <c r="G441">
        <v>27000</v>
      </c>
      <c r="H441" t="s">
        <v>24</v>
      </c>
      <c r="I441" t="s">
        <v>73</v>
      </c>
    </row>
    <row r="442" spans="1:9" x14ac:dyDescent="0.35">
      <c r="A442" t="s">
        <v>868</v>
      </c>
      <c r="B442" t="s">
        <v>205</v>
      </c>
      <c r="C442" t="s">
        <v>60</v>
      </c>
      <c r="D442" t="s">
        <v>38</v>
      </c>
      <c r="E442">
        <v>3</v>
      </c>
      <c r="F442">
        <v>2000</v>
      </c>
      <c r="G442">
        <v>6000</v>
      </c>
      <c r="H442" t="s">
        <v>39</v>
      </c>
      <c r="I442" t="s">
        <v>76</v>
      </c>
    </row>
    <row r="443" spans="1:9" x14ac:dyDescent="0.35">
      <c r="A443" t="s">
        <v>869</v>
      </c>
      <c r="B443" t="s">
        <v>207</v>
      </c>
      <c r="C443" t="s">
        <v>34</v>
      </c>
      <c r="D443" t="s">
        <v>29</v>
      </c>
      <c r="E443">
        <v>7</v>
      </c>
      <c r="F443">
        <v>5500</v>
      </c>
      <c r="G443">
        <v>38500</v>
      </c>
      <c r="H443" t="s">
        <v>47</v>
      </c>
      <c r="I443" t="s">
        <v>40</v>
      </c>
    </row>
    <row r="444" spans="1:9" x14ac:dyDescent="0.35">
      <c r="A444" t="s">
        <v>870</v>
      </c>
      <c r="B444" t="s">
        <v>209</v>
      </c>
      <c r="C444" t="s">
        <v>11</v>
      </c>
      <c r="D444" t="s">
        <v>12</v>
      </c>
      <c r="E444">
        <v>11</v>
      </c>
      <c r="F444">
        <v>1800</v>
      </c>
      <c r="G444">
        <v>19800</v>
      </c>
      <c r="H444" t="s">
        <v>39</v>
      </c>
      <c r="I444" t="s">
        <v>76</v>
      </c>
    </row>
    <row r="445" spans="1:9" x14ac:dyDescent="0.35">
      <c r="A445" t="s">
        <v>871</v>
      </c>
      <c r="B445" t="s">
        <v>212</v>
      </c>
      <c r="C445" t="s">
        <v>89</v>
      </c>
      <c r="D445" t="s">
        <v>90</v>
      </c>
      <c r="E445">
        <v>12</v>
      </c>
      <c r="F445">
        <v>1200</v>
      </c>
      <c r="G445">
        <v>14400</v>
      </c>
      <c r="H445" t="s">
        <v>79</v>
      </c>
      <c r="I445" t="s">
        <v>63</v>
      </c>
    </row>
    <row r="446" spans="1:9" x14ac:dyDescent="0.35">
      <c r="A446" t="s">
        <v>872</v>
      </c>
      <c r="B446" t="s">
        <v>214</v>
      </c>
      <c r="C446" t="s">
        <v>50</v>
      </c>
      <c r="D446" t="s">
        <v>12</v>
      </c>
      <c r="E446">
        <v>8</v>
      </c>
      <c r="F446">
        <v>2500</v>
      </c>
      <c r="G446">
        <v>20000</v>
      </c>
      <c r="H446" t="s">
        <v>47</v>
      </c>
      <c r="I446" t="s">
        <v>63</v>
      </c>
    </row>
    <row r="447" spans="1:9" x14ac:dyDescent="0.35">
      <c r="A447" t="s">
        <v>873</v>
      </c>
      <c r="B447" t="s">
        <v>216</v>
      </c>
      <c r="C447" t="s">
        <v>11</v>
      </c>
      <c r="D447" t="s">
        <v>12</v>
      </c>
      <c r="E447">
        <v>7</v>
      </c>
      <c r="F447">
        <v>1800</v>
      </c>
      <c r="G447">
        <v>12600</v>
      </c>
      <c r="H447" t="s">
        <v>53</v>
      </c>
      <c r="I447" t="s">
        <v>14</v>
      </c>
    </row>
    <row r="448" spans="1:9" x14ac:dyDescent="0.35">
      <c r="A448" t="s">
        <v>874</v>
      </c>
      <c r="B448" t="s">
        <v>218</v>
      </c>
      <c r="C448" t="s">
        <v>34</v>
      </c>
      <c r="D448" t="s">
        <v>29</v>
      </c>
      <c r="E448">
        <v>14</v>
      </c>
      <c r="F448">
        <v>5500</v>
      </c>
      <c r="G448">
        <v>77000</v>
      </c>
      <c r="H448" t="s">
        <v>79</v>
      </c>
      <c r="I448" t="s">
        <v>25</v>
      </c>
    </row>
    <row r="449" spans="1:9" x14ac:dyDescent="0.35">
      <c r="A449" t="s">
        <v>875</v>
      </c>
      <c r="B449" t="s">
        <v>220</v>
      </c>
      <c r="C449" t="s">
        <v>17</v>
      </c>
      <c r="D449" t="s">
        <v>12</v>
      </c>
      <c r="E449">
        <v>15</v>
      </c>
      <c r="F449">
        <v>3000</v>
      </c>
      <c r="G449">
        <v>45000</v>
      </c>
      <c r="H449" t="s">
        <v>43</v>
      </c>
      <c r="I449" t="s">
        <v>66</v>
      </c>
    </row>
    <row r="450" spans="1:9" x14ac:dyDescent="0.35">
      <c r="A450" t="s">
        <v>876</v>
      </c>
      <c r="B450" t="s">
        <v>222</v>
      </c>
      <c r="C450" t="s">
        <v>89</v>
      </c>
      <c r="D450" t="s">
        <v>90</v>
      </c>
      <c r="E450">
        <v>4</v>
      </c>
      <c r="F450">
        <v>1200</v>
      </c>
      <c r="G450">
        <v>4800</v>
      </c>
      <c r="H450" t="s">
        <v>72</v>
      </c>
      <c r="I450" t="s">
        <v>40</v>
      </c>
    </row>
    <row r="451" spans="1:9" x14ac:dyDescent="0.35">
      <c r="A451" t="s">
        <v>877</v>
      </c>
      <c r="B451" t="s">
        <v>224</v>
      </c>
      <c r="C451" t="s">
        <v>60</v>
      </c>
      <c r="D451" t="s">
        <v>38</v>
      </c>
      <c r="E451">
        <v>-4</v>
      </c>
      <c r="F451">
        <v>2000</v>
      </c>
      <c r="G451">
        <v>18000</v>
      </c>
      <c r="H451" t="s">
        <v>47</v>
      </c>
      <c r="I451" t="s">
        <v>14</v>
      </c>
    </row>
    <row r="452" spans="1:9" x14ac:dyDescent="0.35">
      <c r="A452" t="s">
        <v>878</v>
      </c>
      <c r="B452" t="s">
        <v>226</v>
      </c>
      <c r="C452" t="s">
        <v>50</v>
      </c>
      <c r="D452" t="s">
        <v>12</v>
      </c>
      <c r="E452">
        <v>8</v>
      </c>
      <c r="F452">
        <v>2500</v>
      </c>
      <c r="G452">
        <v>20000</v>
      </c>
      <c r="H452" t="s">
        <v>53</v>
      </c>
      <c r="I452" t="s">
        <v>40</v>
      </c>
    </row>
    <row r="453" spans="1:9" x14ac:dyDescent="0.35">
      <c r="A453" t="s">
        <v>879</v>
      </c>
      <c r="B453" t="s">
        <v>228</v>
      </c>
      <c r="C453" t="s">
        <v>17</v>
      </c>
      <c r="D453" t="s">
        <v>12</v>
      </c>
      <c r="E453">
        <v>6</v>
      </c>
      <c r="F453" t="s">
        <v>57</v>
      </c>
      <c r="G453">
        <v>18000</v>
      </c>
      <c r="H453" t="s">
        <v>24</v>
      </c>
      <c r="I453" t="s">
        <v>54</v>
      </c>
    </row>
    <row r="454" spans="1:9" x14ac:dyDescent="0.35">
      <c r="A454" t="s">
        <v>880</v>
      </c>
      <c r="B454" t="s">
        <v>230</v>
      </c>
      <c r="C454" t="s">
        <v>60</v>
      </c>
      <c r="D454" t="s">
        <v>38</v>
      </c>
      <c r="E454">
        <v>9</v>
      </c>
      <c r="F454">
        <v>2000</v>
      </c>
      <c r="G454">
        <v>18000</v>
      </c>
      <c r="H454" t="s">
        <v>72</v>
      </c>
      <c r="I454" t="s">
        <v>63</v>
      </c>
    </row>
    <row r="455" spans="1:9" x14ac:dyDescent="0.35">
      <c r="A455" t="s">
        <v>881</v>
      </c>
      <c r="B455" t="s">
        <v>232</v>
      </c>
      <c r="C455" t="s">
        <v>21</v>
      </c>
      <c r="D455" t="s">
        <v>22</v>
      </c>
      <c r="E455">
        <v>14</v>
      </c>
      <c r="F455">
        <v>1000</v>
      </c>
      <c r="G455">
        <v>14000</v>
      </c>
      <c r="H455" t="s">
        <v>47</v>
      </c>
      <c r="I455" t="s">
        <v>63</v>
      </c>
    </row>
    <row r="456" spans="1:9" x14ac:dyDescent="0.35">
      <c r="A456" t="s">
        <v>882</v>
      </c>
      <c r="B456" t="s">
        <v>234</v>
      </c>
      <c r="C456" t="s">
        <v>60</v>
      </c>
      <c r="D456" t="s">
        <v>38</v>
      </c>
      <c r="E456">
        <v>6</v>
      </c>
      <c r="F456">
        <v>2000</v>
      </c>
      <c r="G456">
        <v>12000</v>
      </c>
      <c r="H456" t="s">
        <v>13</v>
      </c>
      <c r="I456" t="s">
        <v>107</v>
      </c>
    </row>
    <row r="457" spans="1:9" x14ac:dyDescent="0.35">
      <c r="A457" t="s">
        <v>883</v>
      </c>
      <c r="B457" t="s">
        <v>236</v>
      </c>
      <c r="C457" t="s">
        <v>11</v>
      </c>
      <c r="D457" t="s">
        <v>12</v>
      </c>
      <c r="E457">
        <v>2</v>
      </c>
      <c r="F457">
        <v>1800</v>
      </c>
      <c r="G457">
        <v>3600</v>
      </c>
      <c r="H457" t="s">
        <v>39</v>
      </c>
      <c r="I457" t="s">
        <v>31</v>
      </c>
    </row>
    <row r="458" spans="1:9" x14ac:dyDescent="0.35">
      <c r="A458" t="s">
        <v>884</v>
      </c>
      <c r="B458" t="s">
        <v>238</v>
      </c>
      <c r="C458" t="s">
        <v>21</v>
      </c>
      <c r="D458" t="s">
        <v>22</v>
      </c>
      <c r="F458">
        <v>1000</v>
      </c>
      <c r="G458">
        <v>12000</v>
      </c>
      <c r="H458" t="s">
        <v>30</v>
      </c>
      <c r="I458" t="s">
        <v>73</v>
      </c>
    </row>
    <row r="459" spans="1:9" x14ac:dyDescent="0.35">
      <c r="A459" t="s">
        <v>885</v>
      </c>
      <c r="B459" t="s">
        <v>886</v>
      </c>
      <c r="C459" t="s">
        <v>50</v>
      </c>
      <c r="D459" t="s">
        <v>12</v>
      </c>
      <c r="F459">
        <v>2500</v>
      </c>
      <c r="G459">
        <v>25000</v>
      </c>
      <c r="H459" t="s">
        <v>24</v>
      </c>
      <c r="I459" t="s">
        <v>63</v>
      </c>
    </row>
    <row r="460" spans="1:9" x14ac:dyDescent="0.35">
      <c r="A460" t="s">
        <v>887</v>
      </c>
      <c r="B460" t="s">
        <v>243</v>
      </c>
      <c r="C460" t="s">
        <v>89</v>
      </c>
      <c r="D460" t="s">
        <v>90</v>
      </c>
      <c r="E460">
        <v>12</v>
      </c>
      <c r="F460">
        <v>1200</v>
      </c>
      <c r="G460">
        <v>14400</v>
      </c>
      <c r="H460" t="s">
        <v>13</v>
      </c>
      <c r="I460" t="s">
        <v>54</v>
      </c>
    </row>
    <row r="461" spans="1:9" x14ac:dyDescent="0.35">
      <c r="A461" t="s">
        <v>888</v>
      </c>
      <c r="B461" t="s">
        <v>245</v>
      </c>
      <c r="C461" t="s">
        <v>60</v>
      </c>
      <c r="D461" t="s">
        <v>38</v>
      </c>
      <c r="E461">
        <v>10</v>
      </c>
      <c r="F461">
        <v>2000</v>
      </c>
      <c r="G461">
        <v>20000</v>
      </c>
      <c r="H461" t="s">
        <v>43</v>
      </c>
      <c r="I461" t="s">
        <v>107</v>
      </c>
    </row>
    <row r="462" spans="1:9" x14ac:dyDescent="0.35">
      <c r="A462" t="s">
        <v>889</v>
      </c>
      <c r="B462" t="s">
        <v>247</v>
      </c>
      <c r="C462" t="s">
        <v>34</v>
      </c>
      <c r="D462" t="s">
        <v>29</v>
      </c>
      <c r="E462">
        <v>9</v>
      </c>
      <c r="F462">
        <v>5500</v>
      </c>
      <c r="G462">
        <v>49500</v>
      </c>
      <c r="H462" t="s">
        <v>39</v>
      </c>
      <c r="I462" t="s">
        <v>40</v>
      </c>
    </row>
    <row r="463" spans="1:9" x14ac:dyDescent="0.35">
      <c r="A463" t="s">
        <v>890</v>
      </c>
      <c r="B463" t="s">
        <v>249</v>
      </c>
      <c r="C463" t="s">
        <v>34</v>
      </c>
      <c r="D463" t="s">
        <v>29</v>
      </c>
      <c r="E463">
        <v>5</v>
      </c>
      <c r="F463">
        <v>5500</v>
      </c>
      <c r="G463">
        <v>27500</v>
      </c>
      <c r="H463" t="s">
        <v>123</v>
      </c>
      <c r="I463" t="s">
        <v>73</v>
      </c>
    </row>
    <row r="464" spans="1:9" x14ac:dyDescent="0.35">
      <c r="A464" t="s">
        <v>891</v>
      </c>
      <c r="B464" t="s">
        <v>252</v>
      </c>
      <c r="C464" t="s">
        <v>60</v>
      </c>
      <c r="D464" t="s">
        <v>38</v>
      </c>
      <c r="E464">
        <v>6</v>
      </c>
      <c r="F464">
        <v>2000</v>
      </c>
      <c r="G464">
        <v>12000</v>
      </c>
      <c r="H464" t="s">
        <v>24</v>
      </c>
      <c r="I464" t="s">
        <v>25</v>
      </c>
    </row>
    <row r="465" spans="1:9" x14ac:dyDescent="0.35">
      <c r="A465" t="s">
        <v>892</v>
      </c>
      <c r="B465" t="s">
        <v>893</v>
      </c>
      <c r="C465" t="s">
        <v>34</v>
      </c>
      <c r="D465" t="s">
        <v>29</v>
      </c>
      <c r="E465">
        <v>3</v>
      </c>
      <c r="F465">
        <v>5500</v>
      </c>
      <c r="G465">
        <v>16500</v>
      </c>
      <c r="H465" t="s">
        <v>72</v>
      </c>
      <c r="I465" t="s">
        <v>40</v>
      </c>
    </row>
    <row r="466" spans="1:9" x14ac:dyDescent="0.35">
      <c r="A466" t="s">
        <v>894</v>
      </c>
      <c r="B466" t="s">
        <v>256</v>
      </c>
      <c r="C466" t="s">
        <v>21</v>
      </c>
      <c r="D466" t="s">
        <v>210</v>
      </c>
      <c r="E466">
        <v>11</v>
      </c>
      <c r="F466">
        <v>1000</v>
      </c>
      <c r="G466">
        <v>11000</v>
      </c>
      <c r="H466" t="s">
        <v>39</v>
      </c>
      <c r="I466" t="s">
        <v>76</v>
      </c>
    </row>
    <row r="467" spans="1:9" x14ac:dyDescent="0.35">
      <c r="A467" t="s">
        <v>895</v>
      </c>
      <c r="B467" t="s">
        <v>259</v>
      </c>
      <c r="C467" t="s">
        <v>21</v>
      </c>
      <c r="D467" t="s">
        <v>22</v>
      </c>
      <c r="E467">
        <v>12</v>
      </c>
      <c r="F467">
        <v>1000</v>
      </c>
      <c r="G467">
        <v>12000</v>
      </c>
      <c r="H467" t="s">
        <v>72</v>
      </c>
      <c r="I467" t="s">
        <v>54</v>
      </c>
    </row>
    <row r="468" spans="1:9" x14ac:dyDescent="0.35">
      <c r="A468" t="s">
        <v>896</v>
      </c>
      <c r="B468" t="s">
        <v>261</v>
      </c>
      <c r="C468" t="s">
        <v>89</v>
      </c>
      <c r="D468" t="s">
        <v>90</v>
      </c>
      <c r="E468">
        <v>9</v>
      </c>
      <c r="F468">
        <v>1200</v>
      </c>
      <c r="G468">
        <v>10800</v>
      </c>
      <c r="H468" t="s">
        <v>24</v>
      </c>
      <c r="I468" t="s">
        <v>63</v>
      </c>
    </row>
    <row r="469" spans="1:9" x14ac:dyDescent="0.35">
      <c r="A469" t="s">
        <v>897</v>
      </c>
      <c r="B469" t="s">
        <v>898</v>
      </c>
      <c r="C469" t="s">
        <v>37</v>
      </c>
      <c r="D469" t="s">
        <v>38</v>
      </c>
      <c r="E469">
        <v>4</v>
      </c>
      <c r="F469">
        <v>2000</v>
      </c>
      <c r="G469">
        <v>8000</v>
      </c>
      <c r="H469" t="s">
        <v>39</v>
      </c>
      <c r="I469" t="s">
        <v>14</v>
      </c>
    </row>
    <row r="470" spans="1:9" x14ac:dyDescent="0.35">
      <c r="A470" t="s">
        <v>899</v>
      </c>
      <c r="B470" t="s">
        <v>900</v>
      </c>
      <c r="C470" t="s">
        <v>34</v>
      </c>
      <c r="D470" t="s">
        <v>29</v>
      </c>
      <c r="E470">
        <v>13</v>
      </c>
      <c r="F470">
        <v>5500</v>
      </c>
      <c r="G470">
        <v>71500</v>
      </c>
      <c r="H470" t="s">
        <v>18</v>
      </c>
      <c r="I470" t="s">
        <v>76</v>
      </c>
    </row>
    <row r="471" spans="1:9" x14ac:dyDescent="0.35">
      <c r="A471" t="s">
        <v>901</v>
      </c>
      <c r="B471" t="s">
        <v>267</v>
      </c>
      <c r="C471" t="s">
        <v>902</v>
      </c>
      <c r="D471" t="s">
        <v>12</v>
      </c>
      <c r="F471">
        <v>2500</v>
      </c>
      <c r="G471">
        <v>20000</v>
      </c>
      <c r="H471" t="s">
        <v>53</v>
      </c>
      <c r="I471" t="s">
        <v>63</v>
      </c>
    </row>
    <row r="472" spans="1:9" x14ac:dyDescent="0.35">
      <c r="A472" t="s">
        <v>903</v>
      </c>
      <c r="B472" t="s">
        <v>904</v>
      </c>
      <c r="C472" t="s">
        <v>34</v>
      </c>
      <c r="D472" t="s">
        <v>29</v>
      </c>
      <c r="E472">
        <v>7</v>
      </c>
      <c r="F472">
        <v>5500</v>
      </c>
      <c r="G472">
        <v>38500</v>
      </c>
      <c r="H472" t="s">
        <v>72</v>
      </c>
      <c r="I472" t="s">
        <v>54</v>
      </c>
    </row>
    <row r="473" spans="1:9" x14ac:dyDescent="0.35">
      <c r="A473" t="s">
        <v>905</v>
      </c>
      <c r="B473" t="s">
        <v>906</v>
      </c>
      <c r="C473" t="s">
        <v>21</v>
      </c>
      <c r="D473" t="s">
        <v>22</v>
      </c>
      <c r="E473">
        <v>5</v>
      </c>
      <c r="F473" t="s">
        <v>23</v>
      </c>
      <c r="G473">
        <v>5000</v>
      </c>
      <c r="H473" t="s">
        <v>24</v>
      </c>
      <c r="I473" t="s">
        <v>107</v>
      </c>
    </row>
    <row r="474" spans="1:9" x14ac:dyDescent="0.35">
      <c r="A474" t="s">
        <v>907</v>
      </c>
      <c r="B474" t="s">
        <v>273</v>
      </c>
      <c r="C474" t="s">
        <v>11</v>
      </c>
      <c r="D474" t="s">
        <v>12</v>
      </c>
      <c r="E474">
        <v>14</v>
      </c>
      <c r="F474">
        <v>1800</v>
      </c>
      <c r="G474">
        <v>25200</v>
      </c>
      <c r="H474" t="s">
        <v>47</v>
      </c>
      <c r="I474" t="s">
        <v>63</v>
      </c>
    </row>
    <row r="475" spans="1:9" x14ac:dyDescent="0.35">
      <c r="A475" t="s">
        <v>908</v>
      </c>
      <c r="B475" t="s">
        <v>275</v>
      </c>
      <c r="C475" t="s">
        <v>60</v>
      </c>
      <c r="D475" t="s">
        <v>832</v>
      </c>
      <c r="E475">
        <v>4</v>
      </c>
      <c r="F475">
        <v>2000</v>
      </c>
      <c r="G475">
        <v>8000</v>
      </c>
      <c r="H475" t="s">
        <v>30</v>
      </c>
      <c r="I475" t="s">
        <v>107</v>
      </c>
    </row>
    <row r="476" spans="1:9" x14ac:dyDescent="0.35">
      <c r="A476" t="s">
        <v>909</v>
      </c>
      <c r="B476" t="s">
        <v>277</v>
      </c>
      <c r="C476" t="s">
        <v>17</v>
      </c>
      <c r="D476" t="s">
        <v>12</v>
      </c>
      <c r="E476">
        <v>6</v>
      </c>
      <c r="F476">
        <v>3000</v>
      </c>
      <c r="G476">
        <v>18000</v>
      </c>
      <c r="H476" t="s">
        <v>79</v>
      </c>
      <c r="I476" t="s">
        <v>76</v>
      </c>
    </row>
    <row r="477" spans="1:9" x14ac:dyDescent="0.35">
      <c r="A477" t="s">
        <v>910</v>
      </c>
      <c r="B477" t="s">
        <v>279</v>
      </c>
      <c r="C477" t="s">
        <v>28</v>
      </c>
      <c r="D477" t="s">
        <v>29</v>
      </c>
      <c r="E477">
        <v>10</v>
      </c>
      <c r="F477">
        <v>1500</v>
      </c>
      <c r="G477">
        <v>15000</v>
      </c>
      <c r="H477" t="s">
        <v>43</v>
      </c>
      <c r="I477" t="s">
        <v>76</v>
      </c>
    </row>
    <row r="478" spans="1:9" x14ac:dyDescent="0.35">
      <c r="A478" t="s">
        <v>911</v>
      </c>
      <c r="B478" t="s">
        <v>281</v>
      </c>
      <c r="C478" t="s">
        <v>21</v>
      </c>
      <c r="D478" t="s">
        <v>22</v>
      </c>
      <c r="F478" t="s">
        <v>23</v>
      </c>
      <c r="G478">
        <v>14000</v>
      </c>
      <c r="H478" t="s">
        <v>43</v>
      </c>
      <c r="I478" t="s">
        <v>66</v>
      </c>
    </row>
    <row r="479" spans="1:9" x14ac:dyDescent="0.35">
      <c r="A479" t="s">
        <v>912</v>
      </c>
      <c r="B479" t="s">
        <v>283</v>
      </c>
      <c r="C479" t="s">
        <v>89</v>
      </c>
      <c r="D479" t="s">
        <v>90</v>
      </c>
      <c r="E479">
        <v>11</v>
      </c>
      <c r="F479" t="s">
        <v>95</v>
      </c>
      <c r="G479">
        <v>13200</v>
      </c>
      <c r="H479" t="s">
        <v>79</v>
      </c>
      <c r="I479" t="s">
        <v>76</v>
      </c>
    </row>
    <row r="480" spans="1:9" x14ac:dyDescent="0.35">
      <c r="A480" t="s">
        <v>913</v>
      </c>
      <c r="B480" t="s">
        <v>284</v>
      </c>
      <c r="C480" t="s">
        <v>34</v>
      </c>
      <c r="D480" t="s">
        <v>29</v>
      </c>
      <c r="F480">
        <v>5500</v>
      </c>
      <c r="G480">
        <v>27500</v>
      </c>
      <c r="H480" t="s">
        <v>43</v>
      </c>
      <c r="I480" t="s">
        <v>14</v>
      </c>
    </row>
    <row r="481" spans="1:9" x14ac:dyDescent="0.35">
      <c r="B481" t="s">
        <v>286</v>
      </c>
      <c r="C481" t="s">
        <v>11</v>
      </c>
      <c r="D481" t="s">
        <v>12</v>
      </c>
      <c r="E481">
        <v>12</v>
      </c>
      <c r="F481">
        <v>1800</v>
      </c>
      <c r="G481">
        <v>21600</v>
      </c>
      <c r="H481" t="s">
        <v>39</v>
      </c>
    </row>
    <row r="482" spans="1:9" x14ac:dyDescent="0.35">
      <c r="A482" t="s">
        <v>914</v>
      </c>
      <c r="B482" t="s">
        <v>288</v>
      </c>
      <c r="C482" t="s">
        <v>50</v>
      </c>
      <c r="D482" t="s">
        <v>12</v>
      </c>
      <c r="E482">
        <v>6</v>
      </c>
      <c r="F482">
        <v>2500</v>
      </c>
      <c r="G482">
        <v>15000</v>
      </c>
      <c r="H482" t="s">
        <v>18</v>
      </c>
      <c r="I482" t="s">
        <v>40</v>
      </c>
    </row>
    <row r="483" spans="1:9" x14ac:dyDescent="0.35">
      <c r="A483" t="s">
        <v>915</v>
      </c>
      <c r="B483" t="s">
        <v>290</v>
      </c>
      <c r="C483" t="s">
        <v>89</v>
      </c>
      <c r="D483" t="s">
        <v>90</v>
      </c>
      <c r="E483">
        <v>9</v>
      </c>
      <c r="F483" t="s">
        <v>95</v>
      </c>
      <c r="G483">
        <v>10800</v>
      </c>
      <c r="H483" t="s">
        <v>39</v>
      </c>
      <c r="I483" t="s">
        <v>40</v>
      </c>
    </row>
    <row r="484" spans="1:9" x14ac:dyDescent="0.35">
      <c r="A484" t="s">
        <v>916</v>
      </c>
      <c r="B484" t="s">
        <v>292</v>
      </c>
      <c r="C484" t="s">
        <v>60</v>
      </c>
      <c r="D484" t="s">
        <v>38</v>
      </c>
      <c r="E484">
        <v>7</v>
      </c>
      <c r="F484">
        <v>2000</v>
      </c>
      <c r="G484">
        <v>14000</v>
      </c>
      <c r="H484" t="s">
        <v>47</v>
      </c>
      <c r="I484" t="s">
        <v>107</v>
      </c>
    </row>
    <row r="485" spans="1:9" x14ac:dyDescent="0.35">
      <c r="A485" t="s">
        <v>917</v>
      </c>
      <c r="B485" t="s">
        <v>295</v>
      </c>
      <c r="C485" t="s">
        <v>146</v>
      </c>
      <c r="D485" t="s">
        <v>12</v>
      </c>
      <c r="E485">
        <v>1</v>
      </c>
      <c r="F485">
        <v>3000</v>
      </c>
      <c r="G485">
        <v>3000</v>
      </c>
      <c r="H485" t="s">
        <v>24</v>
      </c>
      <c r="I485" t="s">
        <v>63</v>
      </c>
    </row>
    <row r="486" spans="1:9" x14ac:dyDescent="0.35">
      <c r="A486" t="s">
        <v>918</v>
      </c>
      <c r="B486" t="s">
        <v>297</v>
      </c>
      <c r="C486" t="s">
        <v>21</v>
      </c>
      <c r="D486" t="s">
        <v>22</v>
      </c>
      <c r="E486">
        <v>3</v>
      </c>
      <c r="F486">
        <v>1000</v>
      </c>
      <c r="G486">
        <v>3000</v>
      </c>
      <c r="H486" t="s">
        <v>919</v>
      </c>
      <c r="I486" t="s">
        <v>107</v>
      </c>
    </row>
    <row r="487" spans="1:9" x14ac:dyDescent="0.35">
      <c r="A487" t="s">
        <v>920</v>
      </c>
      <c r="B487" t="s">
        <v>300</v>
      </c>
      <c r="C487" t="s">
        <v>89</v>
      </c>
      <c r="D487" t="s">
        <v>90</v>
      </c>
      <c r="E487">
        <v>6</v>
      </c>
      <c r="F487">
        <v>1200</v>
      </c>
      <c r="G487">
        <v>7200</v>
      </c>
      <c r="H487" t="s">
        <v>43</v>
      </c>
    </row>
    <row r="488" spans="1:9" x14ac:dyDescent="0.35">
      <c r="A488" t="s">
        <v>921</v>
      </c>
      <c r="B488" t="s">
        <v>302</v>
      </c>
      <c r="C488" t="s">
        <v>106</v>
      </c>
      <c r="D488" t="s">
        <v>29</v>
      </c>
      <c r="E488">
        <v>2</v>
      </c>
      <c r="F488">
        <v>1500</v>
      </c>
      <c r="G488">
        <v>3000</v>
      </c>
      <c r="H488" t="s">
        <v>840</v>
      </c>
      <c r="I488" t="s">
        <v>14</v>
      </c>
    </row>
    <row r="489" spans="1:9" x14ac:dyDescent="0.35">
      <c r="A489" t="s">
        <v>922</v>
      </c>
      <c r="B489" t="s">
        <v>304</v>
      </c>
      <c r="C489" t="s">
        <v>21</v>
      </c>
      <c r="D489" t="s">
        <v>22</v>
      </c>
      <c r="E489">
        <v>11</v>
      </c>
      <c r="F489">
        <v>1000</v>
      </c>
      <c r="G489">
        <v>11000</v>
      </c>
      <c r="H489" t="s">
        <v>30</v>
      </c>
      <c r="I489" t="s">
        <v>40</v>
      </c>
    </row>
    <row r="490" spans="1:9" x14ac:dyDescent="0.35">
      <c r="A490" t="s">
        <v>923</v>
      </c>
      <c r="B490" t="s">
        <v>306</v>
      </c>
      <c r="C490" t="s">
        <v>50</v>
      </c>
      <c r="D490" t="s">
        <v>12</v>
      </c>
      <c r="E490">
        <v>1</v>
      </c>
      <c r="F490">
        <v>2500</v>
      </c>
      <c r="G490">
        <v>2500</v>
      </c>
      <c r="H490" t="s">
        <v>403</v>
      </c>
      <c r="I490" t="s">
        <v>63</v>
      </c>
    </row>
    <row r="491" spans="1:9" x14ac:dyDescent="0.35">
      <c r="A491" t="s">
        <v>924</v>
      </c>
      <c r="B491" t="s">
        <v>308</v>
      </c>
      <c r="C491" t="s">
        <v>17</v>
      </c>
      <c r="D491" t="s">
        <v>12</v>
      </c>
      <c r="E491">
        <v>-5</v>
      </c>
      <c r="F491">
        <v>3000</v>
      </c>
      <c r="G491">
        <v>21000</v>
      </c>
      <c r="H491" t="s">
        <v>39</v>
      </c>
      <c r="I491" t="s">
        <v>76</v>
      </c>
    </row>
    <row r="492" spans="1:9" x14ac:dyDescent="0.35">
      <c r="A492" t="s">
        <v>925</v>
      </c>
      <c r="B492" t="s">
        <v>310</v>
      </c>
      <c r="C492" t="s">
        <v>89</v>
      </c>
      <c r="D492" t="s">
        <v>90</v>
      </c>
      <c r="E492">
        <v>6</v>
      </c>
      <c r="F492">
        <v>1200</v>
      </c>
      <c r="G492">
        <v>7200</v>
      </c>
      <c r="H492" t="s">
        <v>53</v>
      </c>
      <c r="I492" t="s">
        <v>31</v>
      </c>
    </row>
    <row r="493" spans="1:9" x14ac:dyDescent="0.35">
      <c r="A493" t="s">
        <v>926</v>
      </c>
      <c r="B493" t="s">
        <v>312</v>
      </c>
      <c r="C493" t="s">
        <v>60</v>
      </c>
      <c r="D493" t="s">
        <v>38</v>
      </c>
      <c r="E493">
        <v>12</v>
      </c>
      <c r="F493">
        <v>2000</v>
      </c>
      <c r="G493">
        <v>24000</v>
      </c>
      <c r="H493" t="s">
        <v>13</v>
      </c>
      <c r="I493" t="s">
        <v>73</v>
      </c>
    </row>
    <row r="494" spans="1:9" x14ac:dyDescent="0.35">
      <c r="A494" t="s">
        <v>927</v>
      </c>
      <c r="B494" t="s">
        <v>314</v>
      </c>
      <c r="C494" t="s">
        <v>34</v>
      </c>
      <c r="D494" t="s">
        <v>29</v>
      </c>
      <c r="E494">
        <v>14</v>
      </c>
      <c r="F494">
        <v>5500</v>
      </c>
      <c r="G494">
        <v>77000</v>
      </c>
      <c r="H494" t="s">
        <v>103</v>
      </c>
      <c r="I494" t="s">
        <v>107</v>
      </c>
    </row>
    <row r="495" spans="1:9" x14ac:dyDescent="0.35">
      <c r="A495" t="s">
        <v>928</v>
      </c>
      <c r="B495" t="s">
        <v>317</v>
      </c>
      <c r="C495" t="s">
        <v>89</v>
      </c>
      <c r="D495" t="s">
        <v>90</v>
      </c>
      <c r="E495">
        <v>11</v>
      </c>
      <c r="F495">
        <v>1200</v>
      </c>
      <c r="G495">
        <v>13200</v>
      </c>
      <c r="H495" t="s">
        <v>13</v>
      </c>
      <c r="I495" t="s">
        <v>66</v>
      </c>
    </row>
    <row r="496" spans="1:9" x14ac:dyDescent="0.35">
      <c r="A496" t="s">
        <v>929</v>
      </c>
      <c r="B496" t="s">
        <v>319</v>
      </c>
      <c r="C496" t="s">
        <v>60</v>
      </c>
      <c r="D496" t="s">
        <v>38</v>
      </c>
      <c r="E496">
        <v>15</v>
      </c>
      <c r="F496">
        <v>2000</v>
      </c>
      <c r="G496">
        <v>30000</v>
      </c>
      <c r="H496" t="s">
        <v>103</v>
      </c>
      <c r="I496" t="s">
        <v>14</v>
      </c>
    </row>
    <row r="497" spans="1:9" x14ac:dyDescent="0.35">
      <c r="A497" t="s">
        <v>930</v>
      </c>
      <c r="B497" t="s">
        <v>321</v>
      </c>
      <c r="C497" t="s">
        <v>21</v>
      </c>
      <c r="D497" t="s">
        <v>22</v>
      </c>
      <c r="E497">
        <v>14</v>
      </c>
      <c r="F497">
        <v>1000</v>
      </c>
      <c r="H497" t="s">
        <v>39</v>
      </c>
      <c r="I497" t="s">
        <v>107</v>
      </c>
    </row>
    <row r="498" spans="1:9" x14ac:dyDescent="0.35">
      <c r="A498" t="s">
        <v>931</v>
      </c>
      <c r="B498" t="s">
        <v>323</v>
      </c>
      <c r="C498" t="s">
        <v>17</v>
      </c>
      <c r="D498" t="s">
        <v>12</v>
      </c>
      <c r="E498">
        <v>13</v>
      </c>
      <c r="F498" t="s">
        <v>57</v>
      </c>
      <c r="G498">
        <v>39000</v>
      </c>
      <c r="H498" t="s">
        <v>43</v>
      </c>
      <c r="I498" t="s">
        <v>76</v>
      </c>
    </row>
    <row r="499" spans="1:9" x14ac:dyDescent="0.35">
      <c r="A499" t="s">
        <v>932</v>
      </c>
      <c r="B499" t="s">
        <v>325</v>
      </c>
      <c r="C499" t="s">
        <v>11</v>
      </c>
      <c r="D499" t="s">
        <v>12</v>
      </c>
      <c r="E499">
        <v>10</v>
      </c>
      <c r="F499">
        <v>1800</v>
      </c>
      <c r="H499" t="s">
        <v>13</v>
      </c>
      <c r="I499" t="s">
        <v>25</v>
      </c>
    </row>
    <row r="500" spans="1:9" x14ac:dyDescent="0.35">
      <c r="A500" t="s">
        <v>933</v>
      </c>
      <c r="B500" t="s">
        <v>327</v>
      </c>
      <c r="C500" t="s">
        <v>17</v>
      </c>
      <c r="D500" t="s">
        <v>12</v>
      </c>
      <c r="E500">
        <v>6</v>
      </c>
      <c r="F500">
        <v>3000</v>
      </c>
      <c r="G500">
        <v>18000</v>
      </c>
      <c r="H500" t="s">
        <v>13</v>
      </c>
      <c r="I500" t="s">
        <v>76</v>
      </c>
    </row>
    <row r="501" spans="1:9" x14ac:dyDescent="0.35">
      <c r="A501" t="s">
        <v>934</v>
      </c>
      <c r="B501" t="s">
        <v>329</v>
      </c>
      <c r="C501" t="s">
        <v>11</v>
      </c>
      <c r="D501" t="s">
        <v>12</v>
      </c>
      <c r="E501">
        <v>11</v>
      </c>
      <c r="F501">
        <v>1800</v>
      </c>
      <c r="H501" t="s">
        <v>79</v>
      </c>
      <c r="I501" t="s">
        <v>66</v>
      </c>
    </row>
    <row r="502" spans="1:9" x14ac:dyDescent="0.35">
      <c r="A502" t="s">
        <v>935</v>
      </c>
      <c r="B502" t="s">
        <v>331</v>
      </c>
      <c r="C502" t="s">
        <v>50</v>
      </c>
      <c r="D502" t="s">
        <v>12</v>
      </c>
      <c r="E502">
        <v>13</v>
      </c>
      <c r="F502">
        <v>2500</v>
      </c>
      <c r="G502">
        <v>32500</v>
      </c>
      <c r="H502" t="s">
        <v>13</v>
      </c>
      <c r="I502" t="s">
        <v>63</v>
      </c>
    </row>
  </sheetData>
  <mergeCells count="1">
    <mergeCell ref="A1: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408B9-3720-4EAB-A22C-E1D7696E3AA6}">
  <dimension ref="A1:K502"/>
  <sheetViews>
    <sheetView workbookViewId="0">
      <pane ySplit="2" topLeftCell="A3" activePane="bottomLeft" state="frozen"/>
      <selection pane="bottomLeft" activeCell="E6" sqref="E6"/>
    </sheetView>
  </sheetViews>
  <sheetFormatPr defaultRowHeight="14.5" x14ac:dyDescent="0.35"/>
  <cols>
    <col min="1" max="1" width="8.54296875" customWidth="1"/>
    <col min="2" max="2" width="10.453125" style="12" bestFit="1" customWidth="1"/>
    <col min="3" max="3" width="8.453125" customWidth="1"/>
    <col min="4" max="4" width="8.90625" bestFit="1" customWidth="1"/>
    <col min="5" max="5" width="8.7265625" bestFit="1" customWidth="1"/>
    <col min="6" max="6" width="9.7265625" style="2" bestFit="1" customWidth="1"/>
    <col min="7" max="7" width="10.54296875" bestFit="1" customWidth="1"/>
    <col min="8" max="8" width="12.08984375" customWidth="1"/>
    <col min="9" max="9" width="9.453125" bestFit="1" customWidth="1"/>
  </cols>
  <sheetData>
    <row r="1" spans="1:11" ht="23.5" x14ac:dyDescent="0.55000000000000004">
      <c r="A1" s="5" t="s">
        <v>937</v>
      </c>
      <c r="B1" s="3"/>
      <c r="C1" s="3"/>
      <c r="D1" s="3"/>
      <c r="E1" s="3"/>
      <c r="F1" s="3"/>
      <c r="G1" s="3"/>
      <c r="H1" s="3"/>
      <c r="I1" s="3"/>
    </row>
    <row r="2" spans="1:11" ht="15.5" x14ac:dyDescent="0.35">
      <c r="A2" s="6" t="s">
        <v>0</v>
      </c>
      <c r="B2" s="11" t="s">
        <v>1</v>
      </c>
      <c r="C2" s="4" t="s">
        <v>2</v>
      </c>
      <c r="D2" s="4" t="s">
        <v>3</v>
      </c>
      <c r="E2" s="4" t="s">
        <v>4</v>
      </c>
      <c r="F2" s="4" t="s">
        <v>5</v>
      </c>
      <c r="G2" s="4" t="s">
        <v>6</v>
      </c>
      <c r="H2" s="4" t="s">
        <v>7</v>
      </c>
      <c r="I2" s="4" t="s">
        <v>8</v>
      </c>
    </row>
    <row r="3" spans="1:11" x14ac:dyDescent="0.35">
      <c r="A3" t="str">
        <f>"ORD"&amp;TEXT(ROW()-2,"0000")</f>
        <v>ORD0001</v>
      </c>
      <c r="B3" s="12">
        <v>46023</v>
      </c>
      <c r="C3" t="s">
        <v>11</v>
      </c>
      <c r="D3" t="s">
        <v>12</v>
      </c>
      <c r="E3">
        <v>12</v>
      </c>
      <c r="F3" s="2">
        <v>1800</v>
      </c>
      <c r="G3">
        <f>E3*F3</f>
        <v>21600</v>
      </c>
      <c r="H3" t="s">
        <v>13</v>
      </c>
      <c r="I3" t="s">
        <v>14</v>
      </c>
    </row>
    <row r="4" spans="1:11" x14ac:dyDescent="0.35">
      <c r="A4" t="str">
        <f>"ORD"&amp;TEXT(ROW()-2,"0000")</f>
        <v>ORD0002</v>
      </c>
      <c r="B4" s="12">
        <v>46024</v>
      </c>
      <c r="C4" t="s">
        <v>17</v>
      </c>
      <c r="D4" t="s">
        <v>12</v>
      </c>
      <c r="E4">
        <v>10</v>
      </c>
      <c r="F4" s="2">
        <v>3000</v>
      </c>
      <c r="G4">
        <f>E4*F4</f>
        <v>30000</v>
      </c>
      <c r="H4" t="s">
        <v>18</v>
      </c>
      <c r="I4" t="s">
        <v>936</v>
      </c>
    </row>
    <row r="5" spans="1:11" ht="15.5" x14ac:dyDescent="0.35">
      <c r="A5" t="str">
        <f>"ORD"&amp;TEXT(ROW()-2,"0000")</f>
        <v>ORD0003</v>
      </c>
      <c r="B5" s="12">
        <v>46025</v>
      </c>
      <c r="C5" t="s">
        <v>21</v>
      </c>
      <c r="D5" t="s">
        <v>22</v>
      </c>
      <c r="E5">
        <v>1</v>
      </c>
      <c r="F5" s="2" t="s">
        <v>23</v>
      </c>
      <c r="G5">
        <f>E5*F5</f>
        <v>1000</v>
      </c>
      <c r="H5" t="s">
        <v>24</v>
      </c>
      <c r="I5" t="s">
        <v>25</v>
      </c>
      <c r="K5" s="4"/>
    </row>
    <row r="6" spans="1:11" x14ac:dyDescent="0.35">
      <c r="A6" t="str">
        <f>"ORD"&amp;TEXT(ROW()-2,"0000")</f>
        <v>ORD0004</v>
      </c>
      <c r="B6" s="12">
        <v>46026</v>
      </c>
      <c r="C6" t="s">
        <v>28</v>
      </c>
      <c r="D6" t="s">
        <v>29</v>
      </c>
      <c r="E6">
        <v>2</v>
      </c>
      <c r="F6" s="2">
        <v>1500</v>
      </c>
      <c r="G6">
        <f>E6*F6</f>
        <v>3000</v>
      </c>
      <c r="H6" t="s">
        <v>30</v>
      </c>
      <c r="I6" t="s">
        <v>31</v>
      </c>
    </row>
    <row r="7" spans="1:11" x14ac:dyDescent="0.35">
      <c r="A7" t="str">
        <f>"ORD"&amp;TEXT(ROW()-2,"0000")</f>
        <v>ORD0005</v>
      </c>
      <c r="B7" s="12">
        <v>46027</v>
      </c>
      <c r="C7" t="s">
        <v>34</v>
      </c>
      <c r="D7" t="s">
        <v>29</v>
      </c>
      <c r="E7">
        <v>11</v>
      </c>
      <c r="F7" s="2">
        <v>5500</v>
      </c>
      <c r="G7">
        <f>E7*F7</f>
        <v>60500</v>
      </c>
      <c r="H7" t="s">
        <v>13</v>
      </c>
      <c r="I7" t="s">
        <v>31</v>
      </c>
    </row>
    <row r="8" spans="1:11" x14ac:dyDescent="0.35">
      <c r="A8" t="str">
        <f>"ORD"&amp;TEXT(ROW()-2,"0000")</f>
        <v>ORD0006</v>
      </c>
      <c r="B8" s="12">
        <v>46028</v>
      </c>
      <c r="C8" t="s">
        <v>60</v>
      </c>
      <c r="D8" t="s">
        <v>38</v>
      </c>
      <c r="E8">
        <v>9</v>
      </c>
      <c r="F8" s="2">
        <v>2000</v>
      </c>
      <c r="G8">
        <f>E8*F8</f>
        <v>18000</v>
      </c>
      <c r="H8" t="s">
        <v>39</v>
      </c>
      <c r="I8" t="s">
        <v>40</v>
      </c>
    </row>
    <row r="9" spans="1:11" x14ac:dyDescent="0.35">
      <c r="A9" t="str">
        <f>"ORD"&amp;TEXT(ROW()-2,"0000")</f>
        <v>ORD0007</v>
      </c>
      <c r="B9" s="12">
        <v>46029</v>
      </c>
      <c r="C9" t="s">
        <v>11</v>
      </c>
      <c r="D9" t="s">
        <v>12</v>
      </c>
      <c r="E9">
        <v>15</v>
      </c>
      <c r="F9" s="2">
        <v>1800</v>
      </c>
      <c r="G9">
        <f>E9*F9</f>
        <v>27000</v>
      </c>
      <c r="H9" t="s">
        <v>43</v>
      </c>
      <c r="I9" t="s">
        <v>14</v>
      </c>
      <c r="J9" s="1"/>
    </row>
    <row r="10" spans="1:11" x14ac:dyDescent="0.35">
      <c r="A10" t="str">
        <f>"ORD"&amp;TEXT(ROW()-2,"0000")</f>
        <v>ORD0008</v>
      </c>
      <c r="B10" s="12">
        <v>46030</v>
      </c>
      <c r="C10" t="s">
        <v>11</v>
      </c>
      <c r="D10" t="s">
        <v>12</v>
      </c>
      <c r="E10">
        <v>6</v>
      </c>
      <c r="F10" s="2" t="s">
        <v>46</v>
      </c>
      <c r="G10">
        <f>E10*F10</f>
        <v>10800</v>
      </c>
      <c r="H10" t="s">
        <v>47</v>
      </c>
      <c r="I10" t="s">
        <v>25</v>
      </c>
    </row>
    <row r="11" spans="1:11" x14ac:dyDescent="0.35">
      <c r="A11" t="str">
        <f>"ORD"&amp;TEXT(ROW()-2,"0000")</f>
        <v>ORD0009</v>
      </c>
      <c r="B11" s="12">
        <v>46031</v>
      </c>
      <c r="C11" t="s">
        <v>50</v>
      </c>
      <c r="D11" t="s">
        <v>12</v>
      </c>
      <c r="E11">
        <v>11</v>
      </c>
      <c r="F11" s="2">
        <v>2500</v>
      </c>
      <c r="G11">
        <f>E11*F11</f>
        <v>27500</v>
      </c>
      <c r="H11" t="s">
        <v>39</v>
      </c>
      <c r="I11" t="s">
        <v>40</v>
      </c>
    </row>
    <row r="12" spans="1:11" x14ac:dyDescent="0.35">
      <c r="A12" t="str">
        <f>"ORD"&amp;TEXT(ROW()-2,"0000")</f>
        <v>ORD0010</v>
      </c>
      <c r="B12" s="12">
        <v>46032</v>
      </c>
      <c r="C12" t="s">
        <v>34</v>
      </c>
      <c r="D12" t="s">
        <v>29</v>
      </c>
      <c r="E12">
        <v>7</v>
      </c>
      <c r="F12" s="2">
        <v>5500</v>
      </c>
      <c r="G12">
        <f>E12*F12</f>
        <v>38500</v>
      </c>
      <c r="H12" t="s">
        <v>53</v>
      </c>
      <c r="I12" t="s">
        <v>54</v>
      </c>
    </row>
    <row r="13" spans="1:11" x14ac:dyDescent="0.35">
      <c r="A13" t="str">
        <f>"ORD"&amp;TEXT(ROW()-2,"0000")</f>
        <v>ORD0011</v>
      </c>
      <c r="B13" s="12">
        <v>46033</v>
      </c>
      <c r="C13" t="s">
        <v>17</v>
      </c>
      <c r="D13" t="s">
        <v>12</v>
      </c>
      <c r="E13">
        <v>4</v>
      </c>
      <c r="F13" s="2" t="s">
        <v>57</v>
      </c>
      <c r="G13">
        <f>E13*F13</f>
        <v>12000</v>
      </c>
      <c r="H13" t="s">
        <v>24</v>
      </c>
      <c r="I13" t="s">
        <v>14</v>
      </c>
    </row>
    <row r="14" spans="1:11" x14ac:dyDescent="0.35">
      <c r="A14" t="str">
        <f>"ORD"&amp;TEXT(ROW()-2,"0000")</f>
        <v>ORD0012</v>
      </c>
      <c r="B14" s="12">
        <v>46034</v>
      </c>
      <c r="C14" t="s">
        <v>60</v>
      </c>
      <c r="D14" t="s">
        <v>38</v>
      </c>
      <c r="E14">
        <v>5</v>
      </c>
      <c r="F14" s="2">
        <v>2000</v>
      </c>
      <c r="G14">
        <f>E14*F14</f>
        <v>10000</v>
      </c>
      <c r="H14" t="s">
        <v>18</v>
      </c>
      <c r="I14" t="s">
        <v>54</v>
      </c>
    </row>
    <row r="15" spans="1:11" x14ac:dyDescent="0.35">
      <c r="A15" t="str">
        <f>"ORD"&amp;TEXT(ROW()-2,"0000")</f>
        <v>ORD0013</v>
      </c>
      <c r="B15" s="12">
        <v>46035</v>
      </c>
      <c r="C15" t="s">
        <v>17</v>
      </c>
      <c r="D15" t="s">
        <v>12</v>
      </c>
      <c r="E15">
        <v>14</v>
      </c>
      <c r="F15" s="2">
        <v>3000</v>
      </c>
      <c r="G15">
        <f>E15*F15</f>
        <v>42000</v>
      </c>
      <c r="H15" t="s">
        <v>53</v>
      </c>
      <c r="I15" t="s">
        <v>63</v>
      </c>
    </row>
    <row r="16" spans="1:11" x14ac:dyDescent="0.35">
      <c r="A16" t="str">
        <f>"ORD"&amp;TEXT(ROW()-2,"0000")</f>
        <v>ORD0014</v>
      </c>
      <c r="B16" s="12">
        <v>46036</v>
      </c>
      <c r="C16" t="s">
        <v>17</v>
      </c>
      <c r="D16" t="s">
        <v>12</v>
      </c>
      <c r="E16">
        <v>13</v>
      </c>
      <c r="F16" s="2">
        <v>3000</v>
      </c>
      <c r="G16">
        <f>E16*F16</f>
        <v>39000</v>
      </c>
      <c r="H16" t="s">
        <v>30</v>
      </c>
      <c r="I16" t="s">
        <v>66</v>
      </c>
    </row>
    <row r="17" spans="1:9" x14ac:dyDescent="0.35">
      <c r="A17" t="str">
        <f>"ORD"&amp;TEXT(ROW()-2,"0000")</f>
        <v>ORD0015</v>
      </c>
      <c r="B17" s="12">
        <v>46037</v>
      </c>
      <c r="C17" t="s">
        <v>34</v>
      </c>
      <c r="D17" t="s">
        <v>29</v>
      </c>
      <c r="E17">
        <v>4</v>
      </c>
      <c r="F17" s="2" t="s">
        <v>69</v>
      </c>
      <c r="G17">
        <f>E17*F17</f>
        <v>22000</v>
      </c>
      <c r="H17" t="s">
        <v>24</v>
      </c>
      <c r="I17" t="s">
        <v>40</v>
      </c>
    </row>
    <row r="18" spans="1:9" x14ac:dyDescent="0.35">
      <c r="A18" t="str">
        <f>"ORD"&amp;TEXT(ROW()-2,"0000")</f>
        <v>ORD0016</v>
      </c>
      <c r="B18" s="12">
        <v>46038</v>
      </c>
      <c r="C18" t="s">
        <v>34</v>
      </c>
      <c r="D18" t="s">
        <v>29</v>
      </c>
      <c r="E18">
        <v>5</v>
      </c>
      <c r="F18" s="2">
        <v>5500</v>
      </c>
      <c r="G18">
        <f>E18*F18</f>
        <v>27500</v>
      </c>
      <c r="H18" t="s">
        <v>72</v>
      </c>
      <c r="I18" t="s">
        <v>73</v>
      </c>
    </row>
    <row r="19" spans="1:9" x14ac:dyDescent="0.35">
      <c r="A19" t="str">
        <f>"ORD"&amp;TEXT(ROW()-2,"0000")</f>
        <v>ORD0017</v>
      </c>
      <c r="B19" s="12">
        <v>46039</v>
      </c>
      <c r="C19" t="s">
        <v>11</v>
      </c>
      <c r="D19" t="s">
        <v>12</v>
      </c>
      <c r="E19">
        <v>8</v>
      </c>
      <c r="F19" s="2">
        <v>1800</v>
      </c>
      <c r="G19">
        <f>E19*F19</f>
        <v>14400</v>
      </c>
      <c r="H19" t="s">
        <v>39</v>
      </c>
      <c r="I19" t="s">
        <v>76</v>
      </c>
    </row>
    <row r="20" spans="1:9" x14ac:dyDescent="0.35">
      <c r="A20" t="str">
        <f>"ORD"&amp;TEXT(ROW()-2,"0000")</f>
        <v>ORD0018</v>
      </c>
      <c r="B20" s="12">
        <v>46040</v>
      </c>
      <c r="C20" t="s">
        <v>34</v>
      </c>
      <c r="D20" t="s">
        <v>29</v>
      </c>
      <c r="E20">
        <v>7</v>
      </c>
      <c r="F20" s="2">
        <v>5500</v>
      </c>
      <c r="G20">
        <f>E20*F20</f>
        <v>38500</v>
      </c>
      <c r="H20" t="s">
        <v>79</v>
      </c>
      <c r="I20" t="s">
        <v>63</v>
      </c>
    </row>
    <row r="21" spans="1:9" x14ac:dyDescent="0.35">
      <c r="A21" t="str">
        <f>"ORD"&amp;TEXT(ROW()-2,"0000")</f>
        <v>ORD0019</v>
      </c>
      <c r="B21" s="12">
        <v>46041</v>
      </c>
      <c r="C21" t="s">
        <v>11</v>
      </c>
      <c r="D21" t="s">
        <v>12</v>
      </c>
      <c r="E21">
        <v>8</v>
      </c>
      <c r="F21" s="2">
        <v>1800</v>
      </c>
      <c r="G21">
        <f>E21*F21</f>
        <v>14400</v>
      </c>
      <c r="H21" t="s">
        <v>43</v>
      </c>
      <c r="I21" t="s">
        <v>40</v>
      </c>
    </row>
    <row r="22" spans="1:9" x14ac:dyDescent="0.35">
      <c r="A22" t="str">
        <f>"ORD"&amp;TEXT(ROW()-2,"0000")</f>
        <v>ORD0020</v>
      </c>
      <c r="B22" s="12">
        <v>46042</v>
      </c>
      <c r="C22" t="s">
        <v>50</v>
      </c>
      <c r="D22" t="s">
        <v>12</v>
      </c>
      <c r="E22">
        <v>9</v>
      </c>
      <c r="F22" s="2">
        <v>2500</v>
      </c>
      <c r="G22">
        <f>E22*F22</f>
        <v>22500</v>
      </c>
      <c r="H22" t="s">
        <v>47</v>
      </c>
      <c r="I22" t="s">
        <v>76</v>
      </c>
    </row>
    <row r="23" spans="1:9" x14ac:dyDescent="0.35">
      <c r="A23" t="str">
        <f>"ORD"&amp;TEXT(ROW()-2,"0000")</f>
        <v>ORD0021</v>
      </c>
      <c r="B23" s="12">
        <v>46043</v>
      </c>
      <c r="C23" t="s">
        <v>21</v>
      </c>
      <c r="D23" t="s">
        <v>22</v>
      </c>
      <c r="E23">
        <v>8</v>
      </c>
      <c r="F23" s="2" t="s">
        <v>23</v>
      </c>
      <c r="G23">
        <f>E23*F23</f>
        <v>8000</v>
      </c>
      <c r="H23" t="s">
        <v>43</v>
      </c>
      <c r="I23" t="s">
        <v>73</v>
      </c>
    </row>
    <row r="24" spans="1:9" x14ac:dyDescent="0.35">
      <c r="A24" t="str">
        <f>"ORD"&amp;TEXT(ROW()-2,"0000")</f>
        <v>ORD0022</v>
      </c>
      <c r="B24" s="12">
        <v>46044</v>
      </c>
      <c r="C24" t="s">
        <v>89</v>
      </c>
      <c r="D24" t="s">
        <v>90</v>
      </c>
      <c r="E24">
        <v>11</v>
      </c>
      <c r="F24" s="2">
        <v>1200</v>
      </c>
      <c r="G24">
        <f>E24*F24</f>
        <v>13200</v>
      </c>
      <c r="H24" t="s">
        <v>18</v>
      </c>
      <c r="I24" t="s">
        <v>63</v>
      </c>
    </row>
    <row r="25" spans="1:9" x14ac:dyDescent="0.35">
      <c r="A25" t="str">
        <f>"ORD"&amp;TEXT(ROW()-2,"0000")</f>
        <v>ORD0023</v>
      </c>
      <c r="B25" s="12">
        <v>46045</v>
      </c>
      <c r="C25" t="s">
        <v>17</v>
      </c>
      <c r="D25" t="s">
        <v>12</v>
      </c>
      <c r="E25">
        <v>8</v>
      </c>
      <c r="F25" s="2">
        <v>3000</v>
      </c>
      <c r="G25">
        <f>E25*F25</f>
        <v>24000</v>
      </c>
      <c r="H25" t="s">
        <v>79</v>
      </c>
      <c r="I25" t="s">
        <v>66</v>
      </c>
    </row>
    <row r="26" spans="1:9" x14ac:dyDescent="0.35">
      <c r="A26" t="str">
        <f>"ORD"&amp;TEXT(ROW()-2,"0000")</f>
        <v>ORD0024</v>
      </c>
      <c r="B26" s="12">
        <v>46046</v>
      </c>
      <c r="C26" t="s">
        <v>89</v>
      </c>
      <c r="D26" t="s">
        <v>90</v>
      </c>
      <c r="E26">
        <v>2</v>
      </c>
      <c r="F26" s="2" t="s">
        <v>95</v>
      </c>
      <c r="G26">
        <f>E26*F26</f>
        <v>2400</v>
      </c>
      <c r="H26" t="s">
        <v>72</v>
      </c>
      <c r="I26" t="s">
        <v>40</v>
      </c>
    </row>
    <row r="27" spans="1:9" x14ac:dyDescent="0.35">
      <c r="A27" t="str">
        <f>"ORD"&amp;TEXT(ROW()-2,"0000")</f>
        <v>ORD0025</v>
      </c>
      <c r="B27" s="12">
        <v>46047</v>
      </c>
      <c r="C27" t="s">
        <v>28</v>
      </c>
      <c r="D27" t="s">
        <v>29</v>
      </c>
      <c r="E27">
        <v>0</v>
      </c>
      <c r="F27" s="2">
        <v>1500</v>
      </c>
      <c r="G27">
        <f>E27*F27</f>
        <v>0</v>
      </c>
      <c r="H27" t="s">
        <v>72</v>
      </c>
      <c r="I27" t="s">
        <v>40</v>
      </c>
    </row>
    <row r="28" spans="1:9" x14ac:dyDescent="0.35">
      <c r="A28" t="str">
        <f>"ORD"&amp;TEXT(ROW()-2,"0000")</f>
        <v>ORD0026</v>
      </c>
      <c r="B28" s="12">
        <v>46048</v>
      </c>
      <c r="C28" t="s">
        <v>60</v>
      </c>
      <c r="D28" t="s">
        <v>38</v>
      </c>
      <c r="E28">
        <v>11</v>
      </c>
      <c r="F28" s="2">
        <v>2000</v>
      </c>
      <c r="G28">
        <f>E28*F28</f>
        <v>22000</v>
      </c>
      <c r="H28" t="s">
        <v>72</v>
      </c>
      <c r="I28" t="s">
        <v>40</v>
      </c>
    </row>
    <row r="29" spans="1:9" x14ac:dyDescent="0.35">
      <c r="A29" t="str">
        <f>"ORD"&amp;TEXT(ROW()-2,"0000")</f>
        <v>ORD0027</v>
      </c>
      <c r="B29" s="12">
        <v>46049</v>
      </c>
      <c r="C29" t="s">
        <v>89</v>
      </c>
      <c r="D29" t="s">
        <v>90</v>
      </c>
      <c r="E29">
        <v>13</v>
      </c>
      <c r="F29" s="2">
        <v>1200</v>
      </c>
      <c r="G29">
        <f>E29*F29</f>
        <v>15600</v>
      </c>
      <c r="H29" t="s">
        <v>13</v>
      </c>
      <c r="I29" t="s">
        <v>31</v>
      </c>
    </row>
    <row r="30" spans="1:9" x14ac:dyDescent="0.35">
      <c r="A30" t="str">
        <f>"ORD"&amp;TEXT(ROW()-2,"0000")</f>
        <v>ORD0028</v>
      </c>
      <c r="B30" s="12">
        <v>46050</v>
      </c>
      <c r="C30" t="s">
        <v>11</v>
      </c>
      <c r="D30" t="s">
        <v>12</v>
      </c>
      <c r="E30">
        <v>12</v>
      </c>
      <c r="F30" s="2">
        <v>1800</v>
      </c>
      <c r="G30">
        <f>E30*F30</f>
        <v>21600</v>
      </c>
      <c r="H30" t="s">
        <v>103</v>
      </c>
      <c r="I30" t="s">
        <v>40</v>
      </c>
    </row>
    <row r="31" spans="1:9" x14ac:dyDescent="0.35">
      <c r="A31" t="str">
        <f>"ORD"&amp;TEXT(ROW()-2,"0000")</f>
        <v>ORD0029</v>
      </c>
      <c r="B31" s="12">
        <v>46051</v>
      </c>
      <c r="C31" t="s">
        <v>28</v>
      </c>
      <c r="D31" t="s">
        <v>29</v>
      </c>
      <c r="E31">
        <v>10</v>
      </c>
      <c r="F31" s="2">
        <v>1500</v>
      </c>
      <c r="G31">
        <f>E31*F31</f>
        <v>15000</v>
      </c>
      <c r="H31" t="s">
        <v>39</v>
      </c>
      <c r="I31" t="s">
        <v>107</v>
      </c>
    </row>
    <row r="32" spans="1:9" x14ac:dyDescent="0.35">
      <c r="A32" t="str">
        <f>"ORD"&amp;TEXT(ROW()-2,"0000")</f>
        <v>ORD0030</v>
      </c>
      <c r="B32" s="12">
        <v>46052</v>
      </c>
      <c r="C32" t="s">
        <v>34</v>
      </c>
      <c r="D32" t="s">
        <v>29</v>
      </c>
      <c r="E32">
        <v>1</v>
      </c>
      <c r="F32" s="2">
        <v>5500</v>
      </c>
      <c r="G32">
        <f>E32*F32</f>
        <v>5500</v>
      </c>
      <c r="H32" t="s">
        <v>24</v>
      </c>
      <c r="I32" t="s">
        <v>107</v>
      </c>
    </row>
    <row r="33" spans="1:9" x14ac:dyDescent="0.35">
      <c r="A33" t="str">
        <f>"ORD"&amp;TEXT(ROW()-2,"0000")</f>
        <v>ORD0031</v>
      </c>
      <c r="B33" s="12">
        <v>46053</v>
      </c>
      <c r="C33" t="s">
        <v>11</v>
      </c>
      <c r="D33" t="s">
        <v>12</v>
      </c>
      <c r="E33">
        <v>4</v>
      </c>
      <c r="F33" s="2">
        <v>1800</v>
      </c>
      <c r="G33">
        <f>E33*F33</f>
        <v>7200</v>
      </c>
      <c r="H33" t="s">
        <v>47</v>
      </c>
      <c r="I33" t="s">
        <v>14</v>
      </c>
    </row>
    <row r="34" spans="1:9" x14ac:dyDescent="0.35">
      <c r="A34" t="str">
        <f>"ORD"&amp;TEXT(ROW()-2,"0000")</f>
        <v>ORD0032</v>
      </c>
      <c r="B34" s="12">
        <v>46054</v>
      </c>
      <c r="C34" t="s">
        <v>60</v>
      </c>
      <c r="D34" t="s">
        <v>38</v>
      </c>
      <c r="E34">
        <v>3</v>
      </c>
      <c r="F34" s="2">
        <v>2000</v>
      </c>
      <c r="G34">
        <f>E34*F34</f>
        <v>6000</v>
      </c>
      <c r="H34" t="s">
        <v>43</v>
      </c>
      <c r="I34" t="s">
        <v>63</v>
      </c>
    </row>
    <row r="35" spans="1:9" x14ac:dyDescent="0.35">
      <c r="A35" t="str">
        <f>"ORD"&amp;TEXT(ROW()-2,"0000")</f>
        <v>ORD0033</v>
      </c>
      <c r="B35" s="12">
        <v>46055</v>
      </c>
      <c r="C35" t="s">
        <v>89</v>
      </c>
      <c r="D35" t="s">
        <v>90</v>
      </c>
      <c r="E35">
        <v>14</v>
      </c>
      <c r="F35" s="2">
        <v>1200</v>
      </c>
      <c r="G35">
        <f>E35*F35</f>
        <v>16800</v>
      </c>
      <c r="H35" t="s">
        <v>13</v>
      </c>
      <c r="I35" t="s">
        <v>936</v>
      </c>
    </row>
    <row r="36" spans="1:9" x14ac:dyDescent="0.35">
      <c r="A36" t="str">
        <f>"ORD"&amp;TEXT(ROW()-2,"0000")</f>
        <v>ORD0034</v>
      </c>
      <c r="B36" s="12">
        <v>46056</v>
      </c>
      <c r="C36" t="s">
        <v>17</v>
      </c>
      <c r="D36" t="s">
        <v>12</v>
      </c>
      <c r="E36">
        <v>14</v>
      </c>
      <c r="F36" s="2">
        <v>3000</v>
      </c>
      <c r="G36">
        <f>E36*F36</f>
        <v>42000</v>
      </c>
      <c r="H36" t="s">
        <v>103</v>
      </c>
      <c r="I36" t="s">
        <v>63</v>
      </c>
    </row>
    <row r="37" spans="1:9" x14ac:dyDescent="0.35">
      <c r="A37" t="str">
        <f>"ORD"&amp;TEXT(ROW()-2,"0000")</f>
        <v>ORD0035</v>
      </c>
      <c r="B37" s="12">
        <v>46057</v>
      </c>
      <c r="C37" t="s">
        <v>60</v>
      </c>
      <c r="D37" t="s">
        <v>38</v>
      </c>
      <c r="E37">
        <v>9</v>
      </c>
      <c r="F37" s="2">
        <v>2000</v>
      </c>
      <c r="G37">
        <f>E37*F37</f>
        <v>18000</v>
      </c>
      <c r="H37" t="s">
        <v>13</v>
      </c>
      <c r="I37" t="s">
        <v>66</v>
      </c>
    </row>
    <row r="38" spans="1:9" x14ac:dyDescent="0.35">
      <c r="A38" t="str">
        <f>"ORD"&amp;TEXT(ROW()-2,"0000")</f>
        <v>ORD0036</v>
      </c>
      <c r="B38" s="12">
        <v>46058</v>
      </c>
      <c r="C38" t="s">
        <v>21</v>
      </c>
      <c r="D38" t="s">
        <v>22</v>
      </c>
      <c r="E38">
        <v>10</v>
      </c>
      <c r="F38" s="2">
        <v>1000</v>
      </c>
      <c r="G38">
        <f>E38*F38</f>
        <v>10000</v>
      </c>
      <c r="H38" t="s">
        <v>123</v>
      </c>
      <c r="I38" t="s">
        <v>54</v>
      </c>
    </row>
    <row r="39" spans="1:9" x14ac:dyDescent="0.35">
      <c r="A39" t="str">
        <f>"ORD"&amp;TEXT(ROW()-2,"0000")</f>
        <v>ORD0037</v>
      </c>
      <c r="B39" s="12">
        <v>46059</v>
      </c>
      <c r="C39" t="s">
        <v>11</v>
      </c>
      <c r="D39" t="s">
        <v>12</v>
      </c>
      <c r="E39">
        <v>10</v>
      </c>
      <c r="F39" s="2">
        <v>1800</v>
      </c>
      <c r="G39">
        <f>E39*F39</f>
        <v>18000</v>
      </c>
      <c r="H39" t="s">
        <v>47</v>
      </c>
      <c r="I39" t="s">
        <v>54</v>
      </c>
    </row>
    <row r="40" spans="1:9" x14ac:dyDescent="0.35">
      <c r="A40" t="str">
        <f>"ORD"&amp;TEXT(ROW()-2,"0000")</f>
        <v>ORD0038</v>
      </c>
      <c r="B40" s="12">
        <v>46060</v>
      </c>
      <c r="C40" t="s">
        <v>60</v>
      </c>
      <c r="D40" t="s">
        <v>38</v>
      </c>
      <c r="E40">
        <v>2</v>
      </c>
      <c r="F40" s="2">
        <v>2000</v>
      </c>
      <c r="G40">
        <f>E40*F40</f>
        <v>4000</v>
      </c>
      <c r="H40" t="s">
        <v>47</v>
      </c>
      <c r="I40" t="s">
        <v>54</v>
      </c>
    </row>
    <row r="41" spans="1:9" x14ac:dyDescent="0.35">
      <c r="A41" t="str">
        <f>"ORD"&amp;TEXT(ROW()-2,"0000")</f>
        <v>ORD0039</v>
      </c>
      <c r="B41" s="12">
        <v>46061</v>
      </c>
      <c r="C41" t="s">
        <v>34</v>
      </c>
      <c r="D41" t="s">
        <v>29</v>
      </c>
      <c r="E41">
        <v>0</v>
      </c>
      <c r="F41" s="2">
        <v>5500</v>
      </c>
      <c r="G41">
        <f>E41*F41</f>
        <v>0</v>
      </c>
      <c r="H41" t="s">
        <v>47</v>
      </c>
      <c r="I41" t="s">
        <v>31</v>
      </c>
    </row>
    <row r="42" spans="1:9" x14ac:dyDescent="0.35">
      <c r="A42" t="str">
        <f>"ORD"&amp;TEXT(ROW()-2,"0000")</f>
        <v>ORD0040</v>
      </c>
      <c r="B42" s="12">
        <v>46062</v>
      </c>
      <c r="C42" t="s">
        <v>89</v>
      </c>
      <c r="D42" t="s">
        <v>90</v>
      </c>
      <c r="E42">
        <v>13</v>
      </c>
      <c r="F42" s="2">
        <v>1200</v>
      </c>
      <c r="G42">
        <f>E42*F42</f>
        <v>15600</v>
      </c>
      <c r="H42" t="s">
        <v>39</v>
      </c>
      <c r="I42" t="s">
        <v>107</v>
      </c>
    </row>
    <row r="43" spans="1:9" x14ac:dyDescent="0.35">
      <c r="A43" t="str">
        <f>"ORD"&amp;TEXT(ROW()-2,"0000")</f>
        <v>ORD0041</v>
      </c>
      <c r="B43" s="12">
        <v>46063</v>
      </c>
      <c r="C43" t="s">
        <v>21</v>
      </c>
      <c r="D43" t="s">
        <v>22</v>
      </c>
      <c r="E43">
        <v>3</v>
      </c>
      <c r="F43" s="2">
        <v>1000</v>
      </c>
      <c r="G43">
        <f>E43*F43</f>
        <v>3000</v>
      </c>
      <c r="H43" t="s">
        <v>39</v>
      </c>
      <c r="I43" t="s">
        <v>107</v>
      </c>
    </row>
    <row r="44" spans="1:9" x14ac:dyDescent="0.35">
      <c r="A44" t="str">
        <f>"ORD"&amp;TEXT(ROW()-2,"0000")</f>
        <v>ORD0042</v>
      </c>
      <c r="B44" s="12">
        <v>46064</v>
      </c>
      <c r="C44" t="s">
        <v>50</v>
      </c>
      <c r="D44" t="s">
        <v>12</v>
      </c>
      <c r="E44">
        <v>13</v>
      </c>
      <c r="F44" s="2">
        <v>2500</v>
      </c>
      <c r="G44">
        <f>E44*F44</f>
        <v>32500</v>
      </c>
      <c r="H44" t="s">
        <v>18</v>
      </c>
      <c r="I44" t="s">
        <v>107</v>
      </c>
    </row>
    <row r="45" spans="1:9" x14ac:dyDescent="0.35">
      <c r="A45" t="str">
        <f>"ORD"&amp;TEXT(ROW()-2,"0000")</f>
        <v>ORD0043</v>
      </c>
      <c r="B45" s="12">
        <v>46065</v>
      </c>
      <c r="C45" t="s">
        <v>11</v>
      </c>
      <c r="D45" t="s">
        <v>12</v>
      </c>
      <c r="E45">
        <v>3</v>
      </c>
      <c r="F45" s="2">
        <v>1800</v>
      </c>
      <c r="G45">
        <f>E45*F45</f>
        <v>5400</v>
      </c>
      <c r="H45" t="s">
        <v>43</v>
      </c>
      <c r="I45" t="s">
        <v>54</v>
      </c>
    </row>
    <row r="46" spans="1:9" x14ac:dyDescent="0.35">
      <c r="A46" t="str">
        <f>"ORD"&amp;TEXT(ROW()-2,"0000")</f>
        <v>ORD0044</v>
      </c>
      <c r="B46" s="12">
        <v>46066</v>
      </c>
      <c r="C46" t="s">
        <v>11</v>
      </c>
      <c r="D46" t="s">
        <v>12</v>
      </c>
      <c r="E46">
        <v>15</v>
      </c>
      <c r="F46" s="2">
        <v>1800</v>
      </c>
      <c r="G46">
        <f>E46*F46</f>
        <v>27000</v>
      </c>
      <c r="H46" t="s">
        <v>72</v>
      </c>
      <c r="I46" t="s">
        <v>31</v>
      </c>
    </row>
    <row r="47" spans="1:9" x14ac:dyDescent="0.35">
      <c r="A47" t="str">
        <f>"ORD"&amp;TEXT(ROW()-2,"0000")</f>
        <v>ORD0045</v>
      </c>
      <c r="B47" s="12">
        <v>46067</v>
      </c>
      <c r="C47" t="s">
        <v>89</v>
      </c>
      <c r="D47" t="s">
        <v>90</v>
      </c>
      <c r="E47">
        <v>11</v>
      </c>
      <c r="F47" s="2">
        <v>1200</v>
      </c>
      <c r="G47">
        <f>E47*F47</f>
        <v>13200</v>
      </c>
      <c r="H47" t="s">
        <v>13</v>
      </c>
      <c r="I47" t="s">
        <v>31</v>
      </c>
    </row>
    <row r="48" spans="1:9" x14ac:dyDescent="0.35">
      <c r="A48" t="str">
        <f>"ORD"&amp;TEXT(ROW()-2,"0000")</f>
        <v>ORD0046</v>
      </c>
      <c r="B48" s="12">
        <v>46068</v>
      </c>
      <c r="C48" t="s">
        <v>50</v>
      </c>
      <c r="D48" t="s">
        <v>12</v>
      </c>
      <c r="E48">
        <v>2</v>
      </c>
      <c r="F48" s="2">
        <v>2500</v>
      </c>
      <c r="G48">
        <f>E48*F48</f>
        <v>5000</v>
      </c>
      <c r="H48" t="s">
        <v>43</v>
      </c>
      <c r="I48" t="s">
        <v>54</v>
      </c>
    </row>
    <row r="49" spans="1:9" x14ac:dyDescent="0.35">
      <c r="A49" t="str">
        <f>"ORD"&amp;TEXT(ROW()-2,"0000")</f>
        <v>ORD0047</v>
      </c>
      <c r="B49" s="12">
        <v>46069</v>
      </c>
      <c r="C49" t="s">
        <v>21</v>
      </c>
      <c r="D49" t="s">
        <v>22</v>
      </c>
      <c r="E49">
        <v>12</v>
      </c>
      <c r="F49" s="2" t="s">
        <v>23</v>
      </c>
      <c r="G49">
        <f>E49*F49</f>
        <v>12000</v>
      </c>
      <c r="H49" t="s">
        <v>47</v>
      </c>
      <c r="I49" t="s">
        <v>25</v>
      </c>
    </row>
    <row r="50" spans="1:9" x14ac:dyDescent="0.35">
      <c r="A50" t="str">
        <f>"ORD"&amp;TEXT(ROW()-2,"0000")</f>
        <v>ORD0048</v>
      </c>
      <c r="B50" s="12">
        <v>46070</v>
      </c>
      <c r="C50" t="s">
        <v>17</v>
      </c>
      <c r="D50" t="s">
        <v>12</v>
      </c>
      <c r="E50">
        <v>12</v>
      </c>
      <c r="F50" s="2">
        <v>3000</v>
      </c>
      <c r="G50">
        <f>E50*F50</f>
        <v>36000</v>
      </c>
      <c r="H50" t="s">
        <v>39</v>
      </c>
      <c r="I50" t="s">
        <v>14</v>
      </c>
    </row>
    <row r="51" spans="1:9" x14ac:dyDescent="0.35">
      <c r="A51" t="str">
        <f>"ORD"&amp;TEXT(ROW()-2,"0000")</f>
        <v>ORD0049</v>
      </c>
      <c r="B51" s="12">
        <v>46071</v>
      </c>
      <c r="C51" t="s">
        <v>11</v>
      </c>
      <c r="D51" t="s">
        <v>12</v>
      </c>
      <c r="E51">
        <v>10</v>
      </c>
      <c r="F51" s="2">
        <v>1800</v>
      </c>
      <c r="G51">
        <f>E51*F51</f>
        <v>18000</v>
      </c>
      <c r="H51" t="s">
        <v>47</v>
      </c>
      <c r="I51" t="s">
        <v>40</v>
      </c>
    </row>
    <row r="52" spans="1:9" x14ac:dyDescent="0.35">
      <c r="A52" t="str">
        <f>"ORD"&amp;TEXT(ROW()-2,"0000")</f>
        <v>ORD0050</v>
      </c>
      <c r="B52" s="12">
        <v>46072</v>
      </c>
      <c r="C52" t="s">
        <v>34</v>
      </c>
      <c r="D52" t="s">
        <v>29</v>
      </c>
      <c r="E52">
        <v>11</v>
      </c>
      <c r="F52" s="2">
        <v>5500</v>
      </c>
      <c r="G52">
        <f>E52*F52</f>
        <v>60500</v>
      </c>
      <c r="H52" t="s">
        <v>43</v>
      </c>
      <c r="I52" t="s">
        <v>107</v>
      </c>
    </row>
    <row r="53" spans="1:9" x14ac:dyDescent="0.35">
      <c r="A53" t="str">
        <f>"ORD"&amp;TEXT(ROW()-2,"0000")</f>
        <v>ORD0051</v>
      </c>
      <c r="B53" s="12">
        <v>46073</v>
      </c>
      <c r="C53" t="s">
        <v>28</v>
      </c>
      <c r="D53" t="s">
        <v>29</v>
      </c>
      <c r="E53">
        <v>9</v>
      </c>
      <c r="F53" s="2">
        <v>1500</v>
      </c>
      <c r="G53">
        <f>E53*F53</f>
        <v>13500</v>
      </c>
      <c r="H53" t="s">
        <v>72</v>
      </c>
      <c r="I53" t="s">
        <v>40</v>
      </c>
    </row>
    <row r="54" spans="1:9" x14ac:dyDescent="0.35">
      <c r="A54" t="str">
        <f>"ORD"&amp;TEXT(ROW()-2,"0000")</f>
        <v>ORD0052</v>
      </c>
      <c r="B54" s="12">
        <v>46074</v>
      </c>
      <c r="C54" t="s">
        <v>50</v>
      </c>
      <c r="D54" t="s">
        <v>12</v>
      </c>
      <c r="E54">
        <v>13</v>
      </c>
      <c r="F54" s="2">
        <v>2500</v>
      </c>
      <c r="G54">
        <f>E54*F54</f>
        <v>32500</v>
      </c>
      <c r="H54" t="s">
        <v>103</v>
      </c>
      <c r="I54" t="s">
        <v>76</v>
      </c>
    </row>
    <row r="55" spans="1:9" x14ac:dyDescent="0.35">
      <c r="A55" t="str">
        <f>"ORD"&amp;TEXT(ROW()-2,"0000")</f>
        <v>ORD0053</v>
      </c>
      <c r="B55" s="12">
        <v>46075</v>
      </c>
      <c r="C55" t="s">
        <v>89</v>
      </c>
      <c r="D55" t="s">
        <v>90</v>
      </c>
      <c r="E55">
        <v>13</v>
      </c>
      <c r="F55" s="2">
        <v>1200</v>
      </c>
      <c r="G55">
        <f>E55*F55</f>
        <v>15600</v>
      </c>
      <c r="H55" t="s">
        <v>18</v>
      </c>
      <c r="I55" t="s">
        <v>66</v>
      </c>
    </row>
    <row r="56" spans="1:9" x14ac:dyDescent="0.35">
      <c r="A56" t="str">
        <f>"ORD"&amp;TEXT(ROW()-2,"0000")</f>
        <v>ORD0054</v>
      </c>
      <c r="B56" s="12">
        <v>46076</v>
      </c>
      <c r="C56" t="s">
        <v>89</v>
      </c>
      <c r="D56" t="s">
        <v>90</v>
      </c>
      <c r="E56">
        <v>1</v>
      </c>
      <c r="F56" s="2">
        <v>1200</v>
      </c>
      <c r="G56">
        <f>E56*F56</f>
        <v>1200</v>
      </c>
      <c r="H56" t="s">
        <v>123</v>
      </c>
      <c r="I56" t="s">
        <v>54</v>
      </c>
    </row>
    <row r="57" spans="1:9" x14ac:dyDescent="0.35">
      <c r="A57" t="str">
        <f>"ORD"&amp;TEXT(ROW()-2,"0000")</f>
        <v>ORD0055</v>
      </c>
      <c r="B57" s="12">
        <v>46077</v>
      </c>
      <c r="C57" t="s">
        <v>60</v>
      </c>
      <c r="D57" t="s">
        <v>38</v>
      </c>
      <c r="E57">
        <v>3</v>
      </c>
      <c r="F57" s="2">
        <v>2000</v>
      </c>
      <c r="G57">
        <f>E57*F57</f>
        <v>6000</v>
      </c>
      <c r="H57" t="s">
        <v>13</v>
      </c>
      <c r="I57" t="s">
        <v>66</v>
      </c>
    </row>
    <row r="58" spans="1:9" x14ac:dyDescent="0.35">
      <c r="A58" t="str">
        <f>"ORD"&amp;TEXT(ROW()-2,"0000")</f>
        <v>ORD0056</v>
      </c>
      <c r="B58" s="12">
        <v>46078</v>
      </c>
      <c r="C58" t="s">
        <v>60</v>
      </c>
      <c r="D58" t="s">
        <v>38</v>
      </c>
      <c r="E58">
        <v>12</v>
      </c>
      <c r="F58" s="2" t="s">
        <v>164</v>
      </c>
      <c r="G58">
        <f>E58*F58</f>
        <v>24000</v>
      </c>
      <c r="H58" t="s">
        <v>72</v>
      </c>
      <c r="I58" t="s">
        <v>66</v>
      </c>
    </row>
    <row r="59" spans="1:9" x14ac:dyDescent="0.35">
      <c r="A59" t="str">
        <f>"ORD"&amp;TEXT(ROW()-2,"0000")</f>
        <v>ORD0057</v>
      </c>
      <c r="B59" s="12">
        <v>46079</v>
      </c>
      <c r="C59" t="s">
        <v>21</v>
      </c>
      <c r="D59" t="s">
        <v>22</v>
      </c>
      <c r="E59">
        <v>7</v>
      </c>
      <c r="F59" s="2">
        <v>1000</v>
      </c>
      <c r="G59">
        <f>E59*F59</f>
        <v>7000</v>
      </c>
      <c r="H59" t="s">
        <v>72</v>
      </c>
      <c r="I59" t="s">
        <v>107</v>
      </c>
    </row>
    <row r="60" spans="1:9" x14ac:dyDescent="0.35">
      <c r="A60" t="str">
        <f>"ORD"&amp;TEXT(ROW()-2,"0000")</f>
        <v>ORD0058</v>
      </c>
      <c r="B60" s="12">
        <v>46080</v>
      </c>
      <c r="C60" t="s">
        <v>17</v>
      </c>
      <c r="D60" t="s">
        <v>12</v>
      </c>
      <c r="E60">
        <v>11</v>
      </c>
      <c r="F60" s="2">
        <v>3000</v>
      </c>
      <c r="G60">
        <f>E60*F60</f>
        <v>33000</v>
      </c>
      <c r="H60" t="s">
        <v>24</v>
      </c>
      <c r="I60" t="s">
        <v>14</v>
      </c>
    </row>
    <row r="61" spans="1:9" x14ac:dyDescent="0.35">
      <c r="A61" t="str">
        <f>"ORD"&amp;TEXT(ROW()-2,"0000")</f>
        <v>ORD0059</v>
      </c>
      <c r="B61" s="12">
        <v>46081</v>
      </c>
      <c r="C61" t="s">
        <v>11</v>
      </c>
      <c r="D61" t="s">
        <v>12</v>
      </c>
      <c r="E61">
        <v>11</v>
      </c>
      <c r="F61" s="2">
        <v>1800</v>
      </c>
      <c r="G61">
        <f>E61*F61</f>
        <v>19800</v>
      </c>
      <c r="H61" t="s">
        <v>43</v>
      </c>
      <c r="I61" t="s">
        <v>76</v>
      </c>
    </row>
    <row r="62" spans="1:9" x14ac:dyDescent="0.35">
      <c r="A62" t="str">
        <f>"ORD"&amp;TEXT(ROW()-2,"0000")</f>
        <v>ORD0060</v>
      </c>
      <c r="B62" s="12">
        <v>46082</v>
      </c>
      <c r="C62" t="s">
        <v>89</v>
      </c>
      <c r="D62" t="s">
        <v>90</v>
      </c>
      <c r="E62">
        <v>10</v>
      </c>
      <c r="F62" s="2">
        <v>1200</v>
      </c>
      <c r="G62">
        <f>E62*F62</f>
        <v>12000</v>
      </c>
      <c r="H62" t="s">
        <v>30</v>
      </c>
      <c r="I62" t="s">
        <v>107</v>
      </c>
    </row>
    <row r="63" spans="1:9" x14ac:dyDescent="0.35">
      <c r="A63" t="str">
        <f>"ORD"&amp;TEXT(ROW()-2,"0000")</f>
        <v>ORD0061</v>
      </c>
      <c r="B63" s="12">
        <v>46083</v>
      </c>
      <c r="C63" t="s">
        <v>60</v>
      </c>
      <c r="D63" t="s">
        <v>38</v>
      </c>
      <c r="E63">
        <v>0</v>
      </c>
      <c r="F63" s="2">
        <v>2000</v>
      </c>
      <c r="G63">
        <f>E63*F63</f>
        <v>0</v>
      </c>
      <c r="H63" t="s">
        <v>24</v>
      </c>
      <c r="I63" t="s">
        <v>40</v>
      </c>
    </row>
    <row r="64" spans="1:9" x14ac:dyDescent="0.35">
      <c r="A64" t="str">
        <f>"ORD"&amp;TEXT(ROW()-2,"0000")</f>
        <v>ORD0062</v>
      </c>
      <c r="B64" s="12">
        <v>46084</v>
      </c>
      <c r="C64" t="s">
        <v>28</v>
      </c>
      <c r="D64" t="s">
        <v>29</v>
      </c>
      <c r="E64">
        <v>4</v>
      </c>
      <c r="F64" s="2">
        <v>1500</v>
      </c>
      <c r="G64">
        <f>E64*F64</f>
        <v>6000</v>
      </c>
      <c r="H64" t="s">
        <v>53</v>
      </c>
      <c r="I64" t="s">
        <v>54</v>
      </c>
    </row>
    <row r="65" spans="1:9" x14ac:dyDescent="0.35">
      <c r="A65" t="str">
        <f>"ORD"&amp;TEXT(ROW()-2,"0000")</f>
        <v>ORD0063</v>
      </c>
      <c r="B65" s="12">
        <v>46085</v>
      </c>
      <c r="C65" t="s">
        <v>89</v>
      </c>
      <c r="D65" t="s">
        <v>90</v>
      </c>
      <c r="E65">
        <v>8</v>
      </c>
      <c r="F65" s="2">
        <v>1200</v>
      </c>
      <c r="G65">
        <f>E65*F65</f>
        <v>9600</v>
      </c>
      <c r="H65" t="s">
        <v>24</v>
      </c>
      <c r="I65" t="s">
        <v>76</v>
      </c>
    </row>
    <row r="66" spans="1:9" x14ac:dyDescent="0.35">
      <c r="A66" t="str">
        <f>"ORD"&amp;TEXT(ROW()-2,"0000")</f>
        <v>ORD0064</v>
      </c>
      <c r="B66" s="12">
        <v>46086</v>
      </c>
      <c r="C66" t="s">
        <v>17</v>
      </c>
      <c r="D66" t="s">
        <v>12</v>
      </c>
      <c r="E66">
        <v>12</v>
      </c>
      <c r="F66" s="2">
        <v>3000</v>
      </c>
      <c r="G66">
        <f>E66*F66</f>
        <v>36000</v>
      </c>
      <c r="H66" t="s">
        <v>43</v>
      </c>
      <c r="I66" t="s">
        <v>107</v>
      </c>
    </row>
    <row r="67" spans="1:9" x14ac:dyDescent="0.35">
      <c r="A67" t="str">
        <f>"ORD"&amp;TEXT(ROW()-2,"0000")</f>
        <v>ORD0065</v>
      </c>
      <c r="B67" s="12">
        <v>46087</v>
      </c>
      <c r="C67" t="s">
        <v>89</v>
      </c>
      <c r="D67" t="s">
        <v>90</v>
      </c>
      <c r="E67">
        <v>11</v>
      </c>
      <c r="F67" s="2">
        <v>1200</v>
      </c>
      <c r="G67">
        <f>E67*F67</f>
        <v>13200</v>
      </c>
      <c r="H67" t="s">
        <v>72</v>
      </c>
      <c r="I67" t="s">
        <v>31</v>
      </c>
    </row>
    <row r="68" spans="1:9" x14ac:dyDescent="0.35">
      <c r="A68" t="str">
        <f>"ORD"&amp;TEXT(ROW()-2,"0000")</f>
        <v>ORD0066</v>
      </c>
      <c r="B68" s="12">
        <v>46088</v>
      </c>
      <c r="C68" t="s">
        <v>28</v>
      </c>
      <c r="D68" t="s">
        <v>29</v>
      </c>
      <c r="E68">
        <v>11</v>
      </c>
      <c r="F68" s="2">
        <v>1500</v>
      </c>
      <c r="G68">
        <f>E68*F68</f>
        <v>16500</v>
      </c>
      <c r="H68" t="s">
        <v>13</v>
      </c>
      <c r="I68" t="s">
        <v>54</v>
      </c>
    </row>
    <row r="69" spans="1:9" x14ac:dyDescent="0.35">
      <c r="A69" t="str">
        <f>"ORD"&amp;TEXT(ROW()-2,"0000")</f>
        <v>ORD0067</v>
      </c>
      <c r="B69" s="12">
        <v>46089</v>
      </c>
      <c r="C69" t="s">
        <v>34</v>
      </c>
      <c r="D69" t="s">
        <v>29</v>
      </c>
      <c r="E69">
        <v>5</v>
      </c>
      <c r="F69" s="2">
        <v>5500</v>
      </c>
      <c r="G69">
        <f>E69*F69</f>
        <v>27500</v>
      </c>
      <c r="H69" t="s">
        <v>24</v>
      </c>
      <c r="I69" t="s">
        <v>40</v>
      </c>
    </row>
    <row r="70" spans="1:9" x14ac:dyDescent="0.35">
      <c r="A70" t="str">
        <f>"ORD"&amp;TEXT(ROW()-2,"0000")</f>
        <v>ORD0068</v>
      </c>
      <c r="B70" s="12">
        <v>46090</v>
      </c>
      <c r="C70" t="s">
        <v>17</v>
      </c>
      <c r="D70" t="s">
        <v>12</v>
      </c>
      <c r="E70">
        <v>12</v>
      </c>
      <c r="F70" s="2">
        <v>3000</v>
      </c>
      <c r="G70">
        <f>E70*F70</f>
        <v>36000</v>
      </c>
      <c r="H70" t="s">
        <v>72</v>
      </c>
      <c r="I70" t="s">
        <v>73</v>
      </c>
    </row>
    <row r="71" spans="1:9" x14ac:dyDescent="0.35">
      <c r="A71" t="str">
        <f>"ORD"&amp;TEXT(ROW()-2,"0000")</f>
        <v>ORD0069</v>
      </c>
      <c r="B71" s="12">
        <v>46091</v>
      </c>
      <c r="C71" t="s">
        <v>50</v>
      </c>
      <c r="D71" t="s">
        <v>12</v>
      </c>
      <c r="E71">
        <v>0</v>
      </c>
      <c r="F71" s="2">
        <v>2500</v>
      </c>
      <c r="G71">
        <f>E71*F71</f>
        <v>0</v>
      </c>
      <c r="H71" t="s">
        <v>123</v>
      </c>
      <c r="I71" t="s">
        <v>14</v>
      </c>
    </row>
    <row r="72" spans="1:9" x14ac:dyDescent="0.35">
      <c r="A72" t="str">
        <f>"ORD"&amp;TEXT(ROW()-2,"0000")</f>
        <v>ORD0070</v>
      </c>
      <c r="B72" s="12">
        <v>46092</v>
      </c>
      <c r="C72" t="s">
        <v>17</v>
      </c>
      <c r="D72" t="s">
        <v>12</v>
      </c>
      <c r="E72">
        <v>13</v>
      </c>
      <c r="F72" s="2">
        <v>3000</v>
      </c>
      <c r="G72">
        <f>E72*F72</f>
        <v>39000</v>
      </c>
      <c r="H72" t="s">
        <v>79</v>
      </c>
      <c r="I72" t="s">
        <v>73</v>
      </c>
    </row>
    <row r="73" spans="1:9" x14ac:dyDescent="0.35">
      <c r="A73" t="str">
        <f>"ORD"&amp;TEXT(ROW()-2,"0000")</f>
        <v>ORD0071</v>
      </c>
      <c r="B73" s="12">
        <v>46093</v>
      </c>
      <c r="C73" t="s">
        <v>34</v>
      </c>
      <c r="D73" t="s">
        <v>29</v>
      </c>
      <c r="E73">
        <v>5</v>
      </c>
      <c r="F73" s="2">
        <v>5500</v>
      </c>
      <c r="G73">
        <f>E73*F73</f>
        <v>27500</v>
      </c>
      <c r="H73" t="s">
        <v>47</v>
      </c>
      <c r="I73" t="s">
        <v>73</v>
      </c>
    </row>
    <row r="74" spans="1:9" x14ac:dyDescent="0.35">
      <c r="A74" t="str">
        <f>"ORD"&amp;TEXT(ROW()-2,"0000")</f>
        <v>ORD0072</v>
      </c>
      <c r="B74" s="12">
        <v>46094</v>
      </c>
      <c r="C74" t="s">
        <v>21</v>
      </c>
      <c r="D74" t="s">
        <v>22</v>
      </c>
      <c r="E74">
        <v>10</v>
      </c>
      <c r="F74" s="2">
        <v>1000</v>
      </c>
      <c r="G74">
        <f>E74*F74</f>
        <v>10000</v>
      </c>
      <c r="H74" t="s">
        <v>24</v>
      </c>
      <c r="I74" t="s">
        <v>63</v>
      </c>
    </row>
    <row r="75" spans="1:9" x14ac:dyDescent="0.35">
      <c r="A75" t="str">
        <f>"ORD"&amp;TEXT(ROW()-2,"0000")</f>
        <v>ORD0073</v>
      </c>
      <c r="B75" s="12">
        <v>46095</v>
      </c>
      <c r="C75" t="s">
        <v>34</v>
      </c>
      <c r="D75" t="s">
        <v>29</v>
      </c>
      <c r="E75">
        <v>7</v>
      </c>
      <c r="F75" s="2">
        <v>5500</v>
      </c>
      <c r="G75">
        <f>E75*F75</f>
        <v>38500</v>
      </c>
      <c r="H75" t="s">
        <v>30</v>
      </c>
      <c r="I75" t="s">
        <v>66</v>
      </c>
    </row>
    <row r="76" spans="1:9" x14ac:dyDescent="0.35">
      <c r="A76" t="str">
        <f>"ORD"&amp;TEXT(ROW()-2,"0000")</f>
        <v>ORD0074</v>
      </c>
      <c r="B76" s="12">
        <v>46096</v>
      </c>
      <c r="C76" t="s">
        <v>28</v>
      </c>
      <c r="D76" t="s">
        <v>29</v>
      </c>
      <c r="E76">
        <v>9</v>
      </c>
      <c r="F76" s="2" t="s">
        <v>203</v>
      </c>
      <c r="G76">
        <f>E76*F76</f>
        <v>13500</v>
      </c>
      <c r="H76" t="s">
        <v>39</v>
      </c>
      <c r="I76" t="s">
        <v>76</v>
      </c>
    </row>
    <row r="77" spans="1:9" x14ac:dyDescent="0.35">
      <c r="A77" t="str">
        <f>"ORD"&amp;TEXT(ROW()-2,"0000")</f>
        <v>ORD0075</v>
      </c>
      <c r="B77" s="12">
        <v>46097</v>
      </c>
      <c r="C77" t="s">
        <v>60</v>
      </c>
      <c r="D77" t="s">
        <v>38</v>
      </c>
      <c r="E77">
        <v>13</v>
      </c>
      <c r="F77" s="2">
        <v>2000</v>
      </c>
      <c r="G77">
        <f>E77*F77</f>
        <v>26000</v>
      </c>
      <c r="H77" t="s">
        <v>123</v>
      </c>
      <c r="I77" t="s">
        <v>73</v>
      </c>
    </row>
    <row r="78" spans="1:9" x14ac:dyDescent="0.35">
      <c r="A78" t="str">
        <f>"ORD"&amp;TEXT(ROW()-2,"0000")</f>
        <v>ORD0076</v>
      </c>
      <c r="B78" s="12">
        <v>46098</v>
      </c>
      <c r="C78" t="s">
        <v>60</v>
      </c>
      <c r="D78" t="s">
        <v>38</v>
      </c>
      <c r="E78">
        <v>14</v>
      </c>
      <c r="F78" s="2">
        <v>2000</v>
      </c>
      <c r="G78">
        <f>E78*F78</f>
        <v>28000</v>
      </c>
      <c r="H78" t="s">
        <v>18</v>
      </c>
      <c r="I78" t="s">
        <v>54</v>
      </c>
    </row>
    <row r="79" spans="1:9" x14ac:dyDescent="0.35">
      <c r="A79" t="str">
        <f>"ORD"&amp;TEXT(ROW()-2,"0000")</f>
        <v>ORD0077</v>
      </c>
      <c r="B79" s="12">
        <v>46099</v>
      </c>
      <c r="C79" t="s">
        <v>21</v>
      </c>
      <c r="D79" t="s">
        <v>22</v>
      </c>
      <c r="E79">
        <v>8</v>
      </c>
      <c r="F79" s="2">
        <v>1000</v>
      </c>
      <c r="G79">
        <f>E79*F79</f>
        <v>8000</v>
      </c>
      <c r="H79" t="s">
        <v>13</v>
      </c>
      <c r="I79" t="s">
        <v>63</v>
      </c>
    </row>
    <row r="80" spans="1:9" x14ac:dyDescent="0.35">
      <c r="A80" t="str">
        <f>"ORD"&amp;TEXT(ROW()-2,"0000")</f>
        <v>ORD0078</v>
      </c>
      <c r="B80" s="12">
        <v>46100</v>
      </c>
      <c r="C80" t="s">
        <v>50</v>
      </c>
      <c r="D80" t="s">
        <v>12</v>
      </c>
      <c r="E80">
        <v>5</v>
      </c>
      <c r="F80" s="2">
        <v>2500</v>
      </c>
      <c r="G80">
        <f>E80*F80</f>
        <v>12500</v>
      </c>
      <c r="H80" t="s">
        <v>24</v>
      </c>
      <c r="I80" t="s">
        <v>54</v>
      </c>
    </row>
    <row r="81" spans="1:9" x14ac:dyDescent="0.35">
      <c r="A81" t="str">
        <f>"ORD"&amp;TEXT(ROW()-2,"0000")</f>
        <v>ORD0079</v>
      </c>
      <c r="B81" s="12">
        <v>46101</v>
      </c>
      <c r="C81" t="s">
        <v>50</v>
      </c>
      <c r="D81" t="s">
        <v>12</v>
      </c>
      <c r="E81">
        <v>2</v>
      </c>
      <c r="F81" s="2">
        <v>2500</v>
      </c>
      <c r="G81">
        <f>E81*F81</f>
        <v>5000</v>
      </c>
      <c r="H81" t="s">
        <v>43</v>
      </c>
      <c r="I81" t="s">
        <v>40</v>
      </c>
    </row>
    <row r="82" spans="1:9" x14ac:dyDescent="0.35">
      <c r="A82" t="str">
        <f>"ORD"&amp;TEXT(ROW()-2,"0000")</f>
        <v>ORD0080</v>
      </c>
      <c r="B82" s="12">
        <v>46102</v>
      </c>
      <c r="C82" t="s">
        <v>28</v>
      </c>
      <c r="D82" t="s">
        <v>29</v>
      </c>
      <c r="E82">
        <v>5</v>
      </c>
      <c r="F82" s="2">
        <v>1500</v>
      </c>
      <c r="G82">
        <f>E82*F82</f>
        <v>7500</v>
      </c>
      <c r="H82" t="s">
        <v>13</v>
      </c>
      <c r="I82" t="s">
        <v>14</v>
      </c>
    </row>
    <row r="83" spans="1:9" x14ac:dyDescent="0.35">
      <c r="A83" t="str">
        <f>"ORD"&amp;TEXT(ROW()-2,"0000")</f>
        <v>ORD0081</v>
      </c>
      <c r="B83" s="12">
        <v>46103</v>
      </c>
      <c r="C83" t="s">
        <v>28</v>
      </c>
      <c r="D83" t="s">
        <v>29</v>
      </c>
      <c r="E83">
        <v>15</v>
      </c>
      <c r="F83" s="2">
        <v>1500</v>
      </c>
      <c r="G83">
        <f>E83*F83</f>
        <v>22500</v>
      </c>
      <c r="H83" t="s">
        <v>53</v>
      </c>
      <c r="I83" t="s">
        <v>66</v>
      </c>
    </row>
    <row r="84" spans="1:9" x14ac:dyDescent="0.35">
      <c r="A84" t="str">
        <f>"ORD"&amp;TEXT(ROW()-2,"0000")</f>
        <v>ORD0082</v>
      </c>
      <c r="B84" s="12">
        <v>46104</v>
      </c>
      <c r="C84" t="s">
        <v>11</v>
      </c>
      <c r="D84" t="s">
        <v>12</v>
      </c>
      <c r="E84">
        <v>8</v>
      </c>
      <c r="F84" s="2" t="s">
        <v>46</v>
      </c>
      <c r="G84">
        <f>E84*F84</f>
        <v>14400</v>
      </c>
      <c r="H84" t="s">
        <v>103</v>
      </c>
      <c r="I84" t="s">
        <v>63</v>
      </c>
    </row>
    <row r="85" spans="1:9" x14ac:dyDescent="0.35">
      <c r="A85" t="str">
        <f>"ORD"&amp;TEXT(ROW()-2,"0000")</f>
        <v>ORD0083</v>
      </c>
      <c r="B85" s="12">
        <v>46105</v>
      </c>
      <c r="C85" t="s">
        <v>21</v>
      </c>
      <c r="D85" t="s">
        <v>22</v>
      </c>
      <c r="E85">
        <v>5</v>
      </c>
      <c r="F85" s="2">
        <v>1000</v>
      </c>
      <c r="G85">
        <f>E85*F85</f>
        <v>5000</v>
      </c>
      <c r="H85" t="s">
        <v>18</v>
      </c>
      <c r="I85" t="s">
        <v>25</v>
      </c>
    </row>
    <row r="86" spans="1:9" x14ac:dyDescent="0.35">
      <c r="A86" t="str">
        <f>"ORD"&amp;TEXT(ROW()-2,"0000")</f>
        <v>ORD0084</v>
      </c>
      <c r="B86" s="12">
        <v>46106</v>
      </c>
      <c r="C86" t="s">
        <v>28</v>
      </c>
      <c r="D86" t="s">
        <v>29</v>
      </c>
      <c r="E86">
        <v>10</v>
      </c>
      <c r="F86" s="2">
        <v>1500</v>
      </c>
      <c r="G86">
        <f>E86*F86</f>
        <v>15000</v>
      </c>
      <c r="H86" t="s">
        <v>103</v>
      </c>
      <c r="I86" t="s">
        <v>63</v>
      </c>
    </row>
    <row r="87" spans="1:9" x14ac:dyDescent="0.35">
      <c r="A87" t="str">
        <f>"ORD"&amp;TEXT(ROW()-2,"0000")</f>
        <v>ORD0085</v>
      </c>
      <c r="B87" s="12">
        <v>46107</v>
      </c>
      <c r="C87" t="s">
        <v>60</v>
      </c>
      <c r="D87" t="s">
        <v>38</v>
      </c>
      <c r="E87">
        <v>7</v>
      </c>
      <c r="F87" s="2">
        <v>2000</v>
      </c>
      <c r="G87">
        <f>E87*F87</f>
        <v>14000</v>
      </c>
      <c r="H87" t="s">
        <v>39</v>
      </c>
      <c r="I87" t="s">
        <v>40</v>
      </c>
    </row>
    <row r="88" spans="1:9" x14ac:dyDescent="0.35">
      <c r="A88" t="str">
        <f>"ORD"&amp;TEXT(ROW()-2,"0000")</f>
        <v>ORD0086</v>
      </c>
      <c r="B88" s="12">
        <v>46108</v>
      </c>
      <c r="C88" t="s">
        <v>60</v>
      </c>
      <c r="D88" t="s">
        <v>38</v>
      </c>
      <c r="E88">
        <v>9</v>
      </c>
      <c r="F88" s="2">
        <v>2000</v>
      </c>
      <c r="G88">
        <f>E88*F88</f>
        <v>18000</v>
      </c>
      <c r="H88" t="s">
        <v>30</v>
      </c>
      <c r="I88" t="s">
        <v>73</v>
      </c>
    </row>
    <row r="89" spans="1:9" x14ac:dyDescent="0.35">
      <c r="A89" t="str">
        <f>"ORD"&amp;TEXT(ROW()-2,"0000")</f>
        <v>ORD0087</v>
      </c>
      <c r="B89" s="12">
        <v>46109</v>
      </c>
      <c r="C89" t="s">
        <v>50</v>
      </c>
      <c r="D89" t="s">
        <v>12</v>
      </c>
      <c r="E89">
        <v>11</v>
      </c>
      <c r="F89" s="2">
        <v>2500</v>
      </c>
      <c r="G89">
        <f>E89*F89</f>
        <v>27500</v>
      </c>
      <c r="H89" t="s">
        <v>18</v>
      </c>
      <c r="I89" t="s">
        <v>107</v>
      </c>
    </row>
    <row r="90" spans="1:9" x14ac:dyDescent="0.35">
      <c r="A90" t="str">
        <f>"ORD"&amp;TEXT(ROW()-2,"0000")</f>
        <v>ORD0088</v>
      </c>
      <c r="B90" s="12">
        <v>46110</v>
      </c>
      <c r="C90" t="s">
        <v>60</v>
      </c>
      <c r="D90" t="s">
        <v>38</v>
      </c>
      <c r="E90">
        <v>9</v>
      </c>
      <c r="F90" s="2">
        <v>2000</v>
      </c>
      <c r="G90">
        <f>E90*F90</f>
        <v>18000</v>
      </c>
      <c r="H90" t="s">
        <v>43</v>
      </c>
      <c r="I90" t="s">
        <v>66</v>
      </c>
    </row>
    <row r="91" spans="1:9" x14ac:dyDescent="0.35">
      <c r="A91" t="str">
        <f>"ORD"&amp;TEXT(ROW()-2,"0000")</f>
        <v>ORD0089</v>
      </c>
      <c r="B91" s="12">
        <v>46111</v>
      </c>
      <c r="C91" t="s">
        <v>21</v>
      </c>
      <c r="D91" t="s">
        <v>22</v>
      </c>
      <c r="E91">
        <v>10</v>
      </c>
      <c r="F91" s="2">
        <v>1000</v>
      </c>
      <c r="G91">
        <f>E91*F91</f>
        <v>10000</v>
      </c>
      <c r="H91" t="s">
        <v>79</v>
      </c>
      <c r="I91" t="s">
        <v>76</v>
      </c>
    </row>
    <row r="92" spans="1:9" x14ac:dyDescent="0.35">
      <c r="A92" t="str">
        <f>"ORD"&amp;TEXT(ROW()-2,"0000")</f>
        <v>ORD0090</v>
      </c>
      <c r="B92" s="12">
        <v>46112</v>
      </c>
      <c r="C92" t="s">
        <v>34</v>
      </c>
      <c r="D92" t="s">
        <v>29</v>
      </c>
      <c r="E92">
        <v>10</v>
      </c>
      <c r="F92" s="2">
        <v>5500</v>
      </c>
      <c r="G92">
        <f>E92*F92</f>
        <v>55000</v>
      </c>
      <c r="H92" t="s">
        <v>13</v>
      </c>
      <c r="I92" t="s">
        <v>54</v>
      </c>
    </row>
    <row r="93" spans="1:9" x14ac:dyDescent="0.35">
      <c r="A93" t="str">
        <f>"ORD"&amp;TEXT(ROW()-2,"0000")</f>
        <v>ORD0091</v>
      </c>
      <c r="B93" s="12">
        <v>46113</v>
      </c>
      <c r="C93" t="s">
        <v>34</v>
      </c>
      <c r="D93" t="s">
        <v>29</v>
      </c>
      <c r="E93">
        <v>8</v>
      </c>
      <c r="F93" s="2">
        <v>5500</v>
      </c>
      <c r="G93">
        <f>E93*F93</f>
        <v>44000</v>
      </c>
      <c r="H93" t="s">
        <v>103</v>
      </c>
      <c r="I93" t="s">
        <v>40</v>
      </c>
    </row>
    <row r="94" spans="1:9" x14ac:dyDescent="0.35">
      <c r="A94" t="str">
        <f>"ORD"&amp;TEXT(ROW()-2,"0000")</f>
        <v>ORD0092</v>
      </c>
      <c r="B94" s="12">
        <v>46114</v>
      </c>
      <c r="C94" t="s">
        <v>60</v>
      </c>
      <c r="D94" t="s">
        <v>38</v>
      </c>
      <c r="E94">
        <v>14</v>
      </c>
      <c r="F94" s="2">
        <v>2000</v>
      </c>
      <c r="G94">
        <f>E94*F94</f>
        <v>28000</v>
      </c>
      <c r="H94" t="s">
        <v>53</v>
      </c>
      <c r="I94" t="s">
        <v>25</v>
      </c>
    </row>
    <row r="95" spans="1:9" x14ac:dyDescent="0.35">
      <c r="A95" t="str">
        <f>"ORD"&amp;TEXT(ROW()-2,"0000")</f>
        <v>ORD0093</v>
      </c>
      <c r="B95" s="12">
        <v>46115</v>
      </c>
      <c r="C95" t="s">
        <v>21</v>
      </c>
      <c r="D95" t="s">
        <v>22</v>
      </c>
      <c r="E95">
        <v>8</v>
      </c>
      <c r="F95" s="2">
        <v>1000</v>
      </c>
      <c r="G95">
        <f>E95*F95</f>
        <v>8000</v>
      </c>
      <c r="H95" t="s">
        <v>72</v>
      </c>
      <c r="I95" t="s">
        <v>936</v>
      </c>
    </row>
    <row r="96" spans="1:9" x14ac:dyDescent="0.35">
      <c r="A96" t="str">
        <f>"ORD"&amp;TEXT(ROW()-2,"0000")</f>
        <v>ORD0094</v>
      </c>
      <c r="B96" s="12">
        <v>46116</v>
      </c>
      <c r="C96" t="s">
        <v>50</v>
      </c>
      <c r="D96" t="s">
        <v>12</v>
      </c>
      <c r="E96">
        <v>7</v>
      </c>
      <c r="F96" s="2">
        <v>2500</v>
      </c>
      <c r="G96">
        <f>E96*F96</f>
        <v>17500</v>
      </c>
      <c r="H96" t="s">
        <v>47</v>
      </c>
      <c r="I96" t="s">
        <v>31</v>
      </c>
    </row>
    <row r="97" spans="1:9" x14ac:dyDescent="0.35">
      <c r="A97" t="str">
        <f>"ORD"&amp;TEXT(ROW()-2,"0000")</f>
        <v>ORD0095</v>
      </c>
      <c r="B97" s="12">
        <v>46117</v>
      </c>
      <c r="C97" t="s">
        <v>60</v>
      </c>
      <c r="D97" t="s">
        <v>38</v>
      </c>
      <c r="E97">
        <v>11</v>
      </c>
      <c r="F97" s="2">
        <v>2000</v>
      </c>
      <c r="G97">
        <f>E97*F97</f>
        <v>22000</v>
      </c>
      <c r="H97" t="s">
        <v>103</v>
      </c>
      <c r="I97" t="s">
        <v>54</v>
      </c>
    </row>
    <row r="98" spans="1:9" x14ac:dyDescent="0.35">
      <c r="A98" t="str">
        <f>"ORD"&amp;TEXT(ROW()-2,"0000")</f>
        <v>ORD0096</v>
      </c>
      <c r="B98" s="12">
        <v>46118</v>
      </c>
      <c r="C98" t="s">
        <v>60</v>
      </c>
      <c r="D98" t="s">
        <v>38</v>
      </c>
      <c r="E98">
        <v>14</v>
      </c>
      <c r="F98" s="2">
        <v>2000</v>
      </c>
      <c r="G98">
        <f>E98*F98</f>
        <v>28000</v>
      </c>
      <c r="H98" t="s">
        <v>79</v>
      </c>
      <c r="I98" t="s">
        <v>63</v>
      </c>
    </row>
    <row r="99" spans="1:9" x14ac:dyDescent="0.35">
      <c r="A99" t="str">
        <f>"ORD"&amp;TEXT(ROW()-2,"0000")</f>
        <v>ORD0097</v>
      </c>
      <c r="B99" s="12">
        <v>46119</v>
      </c>
      <c r="C99" t="s">
        <v>17</v>
      </c>
      <c r="D99" t="s">
        <v>12</v>
      </c>
      <c r="E99">
        <v>2</v>
      </c>
      <c r="F99" s="2">
        <v>3000</v>
      </c>
      <c r="G99">
        <f>E99*F99</f>
        <v>6000</v>
      </c>
      <c r="H99" t="s">
        <v>43</v>
      </c>
      <c r="I99" t="s">
        <v>54</v>
      </c>
    </row>
    <row r="100" spans="1:9" x14ac:dyDescent="0.35">
      <c r="A100" t="str">
        <f>"ORD"&amp;TEXT(ROW()-2,"0000")</f>
        <v>ORD0098</v>
      </c>
      <c r="B100" s="12">
        <v>46120</v>
      </c>
      <c r="C100" t="s">
        <v>28</v>
      </c>
      <c r="D100" t="s">
        <v>29</v>
      </c>
      <c r="E100">
        <v>5</v>
      </c>
      <c r="F100" s="2">
        <v>1500</v>
      </c>
      <c r="G100">
        <f>E100*F100</f>
        <v>7500</v>
      </c>
      <c r="H100" t="s">
        <v>39</v>
      </c>
      <c r="I100" t="s">
        <v>107</v>
      </c>
    </row>
    <row r="101" spans="1:9" x14ac:dyDescent="0.35">
      <c r="A101" t="str">
        <f>"ORD"&amp;TEXT(ROW()-2,"0000")</f>
        <v>ORD0099</v>
      </c>
      <c r="B101" s="12">
        <v>46121</v>
      </c>
      <c r="C101" t="s">
        <v>89</v>
      </c>
      <c r="D101" t="s">
        <v>90</v>
      </c>
      <c r="E101">
        <v>3</v>
      </c>
      <c r="F101" s="2">
        <v>1200</v>
      </c>
      <c r="G101">
        <f>E101*F101</f>
        <v>3600</v>
      </c>
      <c r="H101" t="s">
        <v>79</v>
      </c>
      <c r="I101" t="s">
        <v>54</v>
      </c>
    </row>
    <row r="102" spans="1:9" x14ac:dyDescent="0.35">
      <c r="A102" t="str">
        <f>"ORD"&amp;TEXT(ROW()-2,"0000")</f>
        <v>ORD0100</v>
      </c>
      <c r="B102" s="12">
        <v>46122</v>
      </c>
      <c r="C102" t="s">
        <v>17</v>
      </c>
      <c r="D102" t="s">
        <v>12</v>
      </c>
      <c r="E102">
        <v>1</v>
      </c>
      <c r="F102" s="2">
        <v>3000</v>
      </c>
      <c r="G102">
        <f>E102*F102</f>
        <v>3000</v>
      </c>
      <c r="H102" t="s">
        <v>72</v>
      </c>
      <c r="I102" t="s">
        <v>14</v>
      </c>
    </row>
    <row r="103" spans="1:9" x14ac:dyDescent="0.35">
      <c r="A103" t="str">
        <f>"ORD"&amp;TEXT(ROW()-2,"0000")</f>
        <v>ORD0101</v>
      </c>
      <c r="B103" s="12">
        <v>46123</v>
      </c>
      <c r="C103" t="s">
        <v>89</v>
      </c>
      <c r="D103" t="s">
        <v>90</v>
      </c>
      <c r="E103">
        <v>2</v>
      </c>
      <c r="F103" s="2">
        <v>1200</v>
      </c>
      <c r="G103">
        <f>E103*F103</f>
        <v>2400</v>
      </c>
      <c r="H103" t="s">
        <v>103</v>
      </c>
      <c r="I103" t="s">
        <v>40</v>
      </c>
    </row>
    <row r="104" spans="1:9" x14ac:dyDescent="0.35">
      <c r="A104" t="str">
        <f>"ORD"&amp;TEXT(ROW()-2,"0000")</f>
        <v>ORD0102</v>
      </c>
      <c r="B104" s="12">
        <v>46124</v>
      </c>
      <c r="C104" t="s">
        <v>11</v>
      </c>
      <c r="D104" t="s">
        <v>12</v>
      </c>
      <c r="E104">
        <v>13</v>
      </c>
      <c r="F104" s="2" t="s">
        <v>46</v>
      </c>
      <c r="G104">
        <f>E104*F104</f>
        <v>23400</v>
      </c>
      <c r="H104" t="s">
        <v>13</v>
      </c>
      <c r="I104" t="s">
        <v>936</v>
      </c>
    </row>
    <row r="105" spans="1:9" x14ac:dyDescent="0.35">
      <c r="A105" t="str">
        <f>"ORD"&amp;TEXT(ROW()-2,"0000")</f>
        <v>ORD0103</v>
      </c>
      <c r="B105" s="12">
        <v>46125</v>
      </c>
      <c r="C105" t="s">
        <v>17</v>
      </c>
      <c r="D105" t="s">
        <v>12</v>
      </c>
      <c r="E105">
        <v>14</v>
      </c>
      <c r="F105" s="2">
        <v>3000</v>
      </c>
      <c r="G105">
        <f>E105*F105</f>
        <v>42000</v>
      </c>
      <c r="H105" t="s">
        <v>13</v>
      </c>
      <c r="I105" t="s">
        <v>40</v>
      </c>
    </row>
    <row r="106" spans="1:9" x14ac:dyDescent="0.35">
      <c r="A106" t="str">
        <f>"ORD"&amp;TEXT(ROW()-2,"0000")</f>
        <v>ORD0104</v>
      </c>
      <c r="B106" s="12">
        <v>46126</v>
      </c>
      <c r="C106" t="s">
        <v>11</v>
      </c>
      <c r="D106" t="s">
        <v>12</v>
      </c>
      <c r="E106">
        <v>12</v>
      </c>
      <c r="F106" s="2">
        <v>1800</v>
      </c>
      <c r="G106">
        <f>E106*F106</f>
        <v>21600</v>
      </c>
      <c r="H106" t="s">
        <v>39</v>
      </c>
      <c r="I106" t="s">
        <v>31</v>
      </c>
    </row>
    <row r="107" spans="1:9" x14ac:dyDescent="0.35">
      <c r="A107" t="str">
        <f>"ORD"&amp;TEXT(ROW()-2,"0000")</f>
        <v>ORD0105</v>
      </c>
      <c r="B107" s="12">
        <v>46127</v>
      </c>
      <c r="C107" t="s">
        <v>89</v>
      </c>
      <c r="D107" t="s">
        <v>90</v>
      </c>
      <c r="E107">
        <v>12</v>
      </c>
      <c r="F107" s="2">
        <v>1200</v>
      </c>
      <c r="G107">
        <f>E107*F107</f>
        <v>14400</v>
      </c>
      <c r="H107" t="s">
        <v>79</v>
      </c>
      <c r="I107" t="s">
        <v>63</v>
      </c>
    </row>
    <row r="108" spans="1:9" x14ac:dyDescent="0.35">
      <c r="A108" t="str">
        <f>"ORD"&amp;TEXT(ROW()-2,"0000")</f>
        <v>ORD0106</v>
      </c>
      <c r="B108" s="12">
        <v>46128</v>
      </c>
      <c r="C108" t="s">
        <v>28</v>
      </c>
      <c r="D108" t="s">
        <v>29</v>
      </c>
      <c r="E108">
        <v>7</v>
      </c>
      <c r="F108" s="2">
        <v>1500</v>
      </c>
      <c r="G108">
        <f>E108*F108</f>
        <v>10500</v>
      </c>
      <c r="H108" t="s">
        <v>24</v>
      </c>
      <c r="I108" t="s">
        <v>40</v>
      </c>
    </row>
    <row r="109" spans="1:9" x14ac:dyDescent="0.35">
      <c r="A109" t="str">
        <f>"ORD"&amp;TEXT(ROW()-2,"0000")</f>
        <v>ORD0107</v>
      </c>
      <c r="B109" s="12">
        <v>46129</v>
      </c>
      <c r="C109" t="s">
        <v>34</v>
      </c>
      <c r="D109" t="s">
        <v>29</v>
      </c>
      <c r="E109">
        <v>11</v>
      </c>
      <c r="F109" s="2">
        <v>5500</v>
      </c>
      <c r="G109">
        <f>E109*F109</f>
        <v>60500</v>
      </c>
      <c r="H109" t="s">
        <v>18</v>
      </c>
      <c r="I109" t="s">
        <v>76</v>
      </c>
    </row>
    <row r="110" spans="1:9" x14ac:dyDescent="0.35">
      <c r="A110" t="str">
        <f>"ORD"&amp;TEXT(ROW()-2,"0000")</f>
        <v>ORD0108</v>
      </c>
      <c r="B110" s="12">
        <v>46130</v>
      </c>
      <c r="C110" t="s">
        <v>17</v>
      </c>
      <c r="D110" t="s">
        <v>12</v>
      </c>
      <c r="E110">
        <v>3</v>
      </c>
      <c r="F110" s="2">
        <v>3000</v>
      </c>
      <c r="G110">
        <f>E110*F110</f>
        <v>9000</v>
      </c>
      <c r="H110" t="s">
        <v>79</v>
      </c>
      <c r="I110" t="s">
        <v>14</v>
      </c>
    </row>
    <row r="111" spans="1:9" x14ac:dyDescent="0.35">
      <c r="A111" t="str">
        <f>"ORD"&amp;TEXT(ROW()-2,"0000")</f>
        <v>ORD0109</v>
      </c>
      <c r="B111" s="12">
        <v>46131</v>
      </c>
      <c r="C111" t="s">
        <v>34</v>
      </c>
      <c r="D111" t="s">
        <v>29</v>
      </c>
      <c r="E111">
        <v>8</v>
      </c>
      <c r="F111" s="2">
        <v>5500</v>
      </c>
      <c r="G111">
        <f>E111*F111</f>
        <v>44000</v>
      </c>
      <c r="H111" t="s">
        <v>72</v>
      </c>
      <c r="I111" t="s">
        <v>54</v>
      </c>
    </row>
    <row r="112" spans="1:9" x14ac:dyDescent="0.35">
      <c r="A112" t="str">
        <f>"ORD"&amp;TEXT(ROW()-2,"0000")</f>
        <v>ORD0110</v>
      </c>
      <c r="B112" s="12">
        <v>46132</v>
      </c>
      <c r="C112" t="s">
        <v>21</v>
      </c>
      <c r="D112" t="s">
        <v>22</v>
      </c>
      <c r="E112">
        <v>0</v>
      </c>
      <c r="F112" s="2">
        <v>1000</v>
      </c>
      <c r="G112">
        <f>E112*F112</f>
        <v>0</v>
      </c>
      <c r="H112" t="s">
        <v>30</v>
      </c>
      <c r="I112" t="s">
        <v>76</v>
      </c>
    </row>
    <row r="113" spans="1:9" x14ac:dyDescent="0.35">
      <c r="A113" t="str">
        <f>"ORD"&amp;TEXT(ROW()-2,"0000")</f>
        <v>ORD0111</v>
      </c>
      <c r="B113" s="12">
        <v>46133</v>
      </c>
      <c r="C113" t="s">
        <v>50</v>
      </c>
      <c r="D113" t="s">
        <v>12</v>
      </c>
      <c r="E113">
        <v>3</v>
      </c>
      <c r="F113" s="2">
        <v>2500</v>
      </c>
      <c r="G113">
        <f>E113*F113</f>
        <v>7500</v>
      </c>
      <c r="H113" t="s">
        <v>18</v>
      </c>
      <c r="I113" t="s">
        <v>54</v>
      </c>
    </row>
    <row r="114" spans="1:9" x14ac:dyDescent="0.35">
      <c r="A114" t="str">
        <f>"ORD"&amp;TEXT(ROW()-2,"0000")</f>
        <v>ORD0112</v>
      </c>
      <c r="B114" s="12">
        <v>46134</v>
      </c>
      <c r="C114" t="s">
        <v>11</v>
      </c>
      <c r="D114" t="s">
        <v>12</v>
      </c>
      <c r="E114">
        <v>15</v>
      </c>
      <c r="F114" s="2">
        <v>1800</v>
      </c>
      <c r="G114">
        <f>E114*F114</f>
        <v>27000</v>
      </c>
      <c r="H114" t="s">
        <v>123</v>
      </c>
      <c r="I114" t="s">
        <v>76</v>
      </c>
    </row>
    <row r="115" spans="1:9" x14ac:dyDescent="0.35">
      <c r="A115" t="str">
        <f>"ORD"&amp;TEXT(ROW()-2,"0000")</f>
        <v>ORD0113</v>
      </c>
      <c r="B115" s="12">
        <v>46135</v>
      </c>
      <c r="C115" t="s">
        <v>28</v>
      </c>
      <c r="D115" t="s">
        <v>29</v>
      </c>
      <c r="E115">
        <v>4</v>
      </c>
      <c r="F115" s="2">
        <v>1500</v>
      </c>
      <c r="G115">
        <f>E115*F115</f>
        <v>6000</v>
      </c>
      <c r="H115" t="s">
        <v>47</v>
      </c>
      <c r="I115" t="s">
        <v>66</v>
      </c>
    </row>
    <row r="116" spans="1:9" x14ac:dyDescent="0.35">
      <c r="A116" t="str">
        <f>"ORD"&amp;TEXT(ROW()-2,"0000")</f>
        <v>ORD0114</v>
      </c>
      <c r="B116" s="12">
        <v>46136</v>
      </c>
      <c r="C116" t="s">
        <v>21</v>
      </c>
      <c r="D116" t="s">
        <v>22</v>
      </c>
      <c r="E116">
        <v>1</v>
      </c>
      <c r="F116" s="2">
        <v>1000</v>
      </c>
      <c r="G116">
        <f>E116*F116</f>
        <v>1000</v>
      </c>
      <c r="H116" t="s">
        <v>103</v>
      </c>
      <c r="I116" t="s">
        <v>63</v>
      </c>
    </row>
    <row r="117" spans="1:9" x14ac:dyDescent="0.35">
      <c r="A117" t="str">
        <f>"ORD"&amp;TEXT(ROW()-2,"0000")</f>
        <v>ORD0115</v>
      </c>
      <c r="B117" s="12">
        <v>46137</v>
      </c>
      <c r="C117" t="s">
        <v>17</v>
      </c>
      <c r="D117" t="s">
        <v>12</v>
      </c>
      <c r="E117">
        <v>1</v>
      </c>
      <c r="F117" s="2">
        <v>3000</v>
      </c>
      <c r="G117">
        <f>E117*F117</f>
        <v>3000</v>
      </c>
      <c r="H117" t="s">
        <v>39</v>
      </c>
      <c r="I117" t="s">
        <v>25</v>
      </c>
    </row>
    <row r="118" spans="1:9" x14ac:dyDescent="0.35">
      <c r="A118" t="str">
        <f>"ORD"&amp;TEXT(ROW()-2,"0000")</f>
        <v>ORD0116</v>
      </c>
      <c r="B118" s="12">
        <v>46138</v>
      </c>
      <c r="C118" t="s">
        <v>21</v>
      </c>
      <c r="D118" t="s">
        <v>22</v>
      </c>
      <c r="E118">
        <v>6</v>
      </c>
      <c r="F118" s="2">
        <v>1000</v>
      </c>
      <c r="G118">
        <f>E118*F118</f>
        <v>6000</v>
      </c>
      <c r="H118" t="s">
        <v>30</v>
      </c>
      <c r="I118" t="s">
        <v>63</v>
      </c>
    </row>
    <row r="119" spans="1:9" x14ac:dyDescent="0.35">
      <c r="A119" t="str">
        <f>"ORD"&amp;TEXT(ROW()-2,"0000")</f>
        <v>ORD0117</v>
      </c>
      <c r="B119" s="12">
        <v>46139</v>
      </c>
      <c r="C119" t="s">
        <v>17</v>
      </c>
      <c r="D119" t="s">
        <v>12</v>
      </c>
      <c r="E119">
        <v>13</v>
      </c>
      <c r="F119" s="2">
        <v>3000</v>
      </c>
      <c r="G119">
        <f>E119*F119</f>
        <v>39000</v>
      </c>
      <c r="H119" t="s">
        <v>39</v>
      </c>
      <c r="I119" t="s">
        <v>76</v>
      </c>
    </row>
    <row r="120" spans="1:9" x14ac:dyDescent="0.35">
      <c r="A120" t="str">
        <f>"ORD"&amp;TEXT(ROW()-2,"0000")</f>
        <v>ORD0118</v>
      </c>
      <c r="B120" s="12">
        <v>46140</v>
      </c>
      <c r="C120" t="s">
        <v>50</v>
      </c>
      <c r="D120" t="s">
        <v>12</v>
      </c>
      <c r="E120">
        <v>12</v>
      </c>
      <c r="F120" s="2">
        <v>2500</v>
      </c>
      <c r="G120">
        <f>E120*F120</f>
        <v>30000</v>
      </c>
      <c r="H120" t="s">
        <v>47</v>
      </c>
      <c r="I120" t="s">
        <v>66</v>
      </c>
    </row>
    <row r="121" spans="1:9" x14ac:dyDescent="0.35">
      <c r="A121" t="str">
        <f>"ORD"&amp;TEXT(ROW()-2,"0000")</f>
        <v>ORD0119</v>
      </c>
      <c r="B121" s="12">
        <v>46141</v>
      </c>
      <c r="C121" t="s">
        <v>50</v>
      </c>
      <c r="D121" t="s">
        <v>12</v>
      </c>
      <c r="E121">
        <v>9</v>
      </c>
      <c r="F121" s="2" t="s">
        <v>298</v>
      </c>
      <c r="G121">
        <f>E121*F121</f>
        <v>22500</v>
      </c>
      <c r="H121" t="s">
        <v>103</v>
      </c>
      <c r="I121" t="s">
        <v>73</v>
      </c>
    </row>
    <row r="122" spans="1:9" x14ac:dyDescent="0.35">
      <c r="A122" t="str">
        <f>"ORD"&amp;TEXT(ROW()-2,"0000")</f>
        <v>ORD0120</v>
      </c>
      <c r="B122" s="12">
        <v>46142</v>
      </c>
      <c r="C122" t="s">
        <v>17</v>
      </c>
      <c r="D122" t="s">
        <v>12</v>
      </c>
      <c r="E122">
        <v>13</v>
      </c>
      <c r="F122" s="2">
        <v>3000</v>
      </c>
      <c r="G122">
        <f>E122*F122</f>
        <v>39000</v>
      </c>
      <c r="H122" t="s">
        <v>43</v>
      </c>
      <c r="I122" t="s">
        <v>63</v>
      </c>
    </row>
    <row r="123" spans="1:9" x14ac:dyDescent="0.35">
      <c r="A123" t="str">
        <f>"ORD"&amp;TEXT(ROW()-2,"0000")</f>
        <v>ORD0121</v>
      </c>
      <c r="B123" s="12">
        <v>46143</v>
      </c>
      <c r="C123" t="s">
        <v>89</v>
      </c>
      <c r="D123" t="s">
        <v>90</v>
      </c>
      <c r="E123">
        <v>3</v>
      </c>
      <c r="F123" s="2">
        <v>1200</v>
      </c>
      <c r="G123">
        <f>E123*F123</f>
        <v>3600</v>
      </c>
      <c r="H123" t="s">
        <v>103</v>
      </c>
      <c r="I123" t="s">
        <v>107</v>
      </c>
    </row>
    <row r="124" spans="1:9" x14ac:dyDescent="0.35">
      <c r="A124" t="str">
        <f>"ORD"&amp;TEXT(ROW()-2,"0000")</f>
        <v>ORD0122</v>
      </c>
      <c r="B124" s="12">
        <v>46144</v>
      </c>
      <c r="C124" t="s">
        <v>50</v>
      </c>
      <c r="D124" t="s">
        <v>12</v>
      </c>
      <c r="E124">
        <v>5</v>
      </c>
      <c r="F124" s="2">
        <v>2500</v>
      </c>
      <c r="G124">
        <f>E124*F124</f>
        <v>12500</v>
      </c>
      <c r="H124" t="s">
        <v>53</v>
      </c>
      <c r="I124" t="s">
        <v>936</v>
      </c>
    </row>
    <row r="125" spans="1:9" x14ac:dyDescent="0.35">
      <c r="A125" t="str">
        <f>"ORD"&amp;TEXT(ROW()-2,"0000")</f>
        <v>ORD0123</v>
      </c>
      <c r="B125" s="12">
        <v>46145</v>
      </c>
      <c r="C125" t="s">
        <v>21</v>
      </c>
      <c r="D125" t="s">
        <v>22</v>
      </c>
      <c r="E125">
        <v>6</v>
      </c>
      <c r="F125" s="2">
        <v>1000</v>
      </c>
      <c r="G125">
        <f>E125*F125</f>
        <v>6000</v>
      </c>
      <c r="H125" t="s">
        <v>18</v>
      </c>
      <c r="I125" t="s">
        <v>66</v>
      </c>
    </row>
    <row r="126" spans="1:9" x14ac:dyDescent="0.35">
      <c r="A126" t="str">
        <f>"ORD"&amp;TEXT(ROW()-2,"0000")</f>
        <v>ORD0124</v>
      </c>
      <c r="B126" s="12">
        <v>46146</v>
      </c>
      <c r="C126" t="s">
        <v>34</v>
      </c>
      <c r="D126" t="s">
        <v>29</v>
      </c>
      <c r="E126">
        <v>3</v>
      </c>
      <c r="F126" s="2">
        <v>5500</v>
      </c>
      <c r="G126">
        <f>E126*F126</f>
        <v>16500</v>
      </c>
      <c r="H126" t="s">
        <v>13</v>
      </c>
      <c r="I126" t="s">
        <v>73</v>
      </c>
    </row>
    <row r="127" spans="1:9" x14ac:dyDescent="0.35">
      <c r="A127" t="str">
        <f>"ORD"&amp;TEXT(ROW()-2,"0000")</f>
        <v>ORD0125</v>
      </c>
      <c r="B127" s="12">
        <v>46147</v>
      </c>
      <c r="C127" t="s">
        <v>11</v>
      </c>
      <c r="D127" t="s">
        <v>12</v>
      </c>
      <c r="E127">
        <v>4</v>
      </c>
      <c r="F127" s="2">
        <v>1800</v>
      </c>
      <c r="G127">
        <f>E127*F127</f>
        <v>7200</v>
      </c>
      <c r="H127" t="s">
        <v>24</v>
      </c>
      <c r="I127" t="s">
        <v>76</v>
      </c>
    </row>
    <row r="128" spans="1:9" x14ac:dyDescent="0.35">
      <c r="A128" t="str">
        <f>"ORD"&amp;TEXT(ROW()-2,"0000")</f>
        <v>ORD0126</v>
      </c>
      <c r="B128" s="12">
        <v>46148</v>
      </c>
      <c r="C128" t="s">
        <v>21</v>
      </c>
      <c r="D128" t="s">
        <v>22</v>
      </c>
      <c r="E128">
        <v>8</v>
      </c>
      <c r="F128" s="2">
        <v>1000</v>
      </c>
      <c r="G128">
        <f>E128*F128</f>
        <v>8000</v>
      </c>
      <c r="H128" t="s">
        <v>39</v>
      </c>
      <c r="I128" t="s">
        <v>25</v>
      </c>
    </row>
    <row r="129" spans="1:9" x14ac:dyDescent="0.35">
      <c r="A129" t="str">
        <f>"ORD"&amp;TEXT(ROW()-2,"0000")</f>
        <v>ORD0127</v>
      </c>
      <c r="B129" s="12">
        <v>46149</v>
      </c>
      <c r="C129" t="s">
        <v>11</v>
      </c>
      <c r="D129" t="s">
        <v>12</v>
      </c>
      <c r="E129">
        <v>13</v>
      </c>
      <c r="F129" s="2" t="s">
        <v>46</v>
      </c>
      <c r="G129">
        <f>E129*F129</f>
        <v>23400</v>
      </c>
      <c r="H129" t="s">
        <v>39</v>
      </c>
      <c r="I129" t="s">
        <v>54</v>
      </c>
    </row>
    <row r="130" spans="1:9" x14ac:dyDescent="0.35">
      <c r="A130" t="str">
        <f>"ORD"&amp;TEXT(ROW()-2,"0000")</f>
        <v>ORD0128</v>
      </c>
      <c r="B130" s="12">
        <v>46150</v>
      </c>
      <c r="C130" t="s">
        <v>50</v>
      </c>
      <c r="D130" t="s">
        <v>12</v>
      </c>
      <c r="E130">
        <v>1</v>
      </c>
      <c r="F130" s="2">
        <v>2500</v>
      </c>
      <c r="G130">
        <f>E130*F130</f>
        <v>2500</v>
      </c>
      <c r="H130" t="s">
        <v>123</v>
      </c>
      <c r="I130" t="s">
        <v>54</v>
      </c>
    </row>
    <row r="131" spans="1:9" x14ac:dyDescent="0.35">
      <c r="A131" t="str">
        <f>"ORD"&amp;TEXT(ROW()-2,"0000")</f>
        <v>ORD0129</v>
      </c>
      <c r="B131" s="12">
        <v>46151</v>
      </c>
      <c r="C131" t="s">
        <v>11</v>
      </c>
      <c r="D131" t="s">
        <v>12</v>
      </c>
      <c r="E131">
        <v>10</v>
      </c>
      <c r="F131" s="2">
        <v>1800</v>
      </c>
      <c r="G131">
        <f>E131*F131</f>
        <v>18000</v>
      </c>
      <c r="H131" t="s">
        <v>18</v>
      </c>
      <c r="I131" t="s">
        <v>66</v>
      </c>
    </row>
    <row r="132" spans="1:9" x14ac:dyDescent="0.35">
      <c r="A132" t="str">
        <f>"ORD"&amp;TEXT(ROW()-2,"0000")</f>
        <v>ORD0130</v>
      </c>
      <c r="B132" s="12">
        <v>46152</v>
      </c>
      <c r="C132" t="s">
        <v>50</v>
      </c>
      <c r="D132" t="s">
        <v>12</v>
      </c>
      <c r="E132">
        <v>11</v>
      </c>
      <c r="F132" s="2">
        <v>2500</v>
      </c>
      <c r="G132">
        <f>E132*F132</f>
        <v>27500</v>
      </c>
      <c r="H132" t="s">
        <v>24</v>
      </c>
      <c r="I132" t="s">
        <v>76</v>
      </c>
    </row>
    <row r="133" spans="1:9" x14ac:dyDescent="0.35">
      <c r="A133" t="str">
        <f>"ORD"&amp;TEXT(ROW()-2,"0000")</f>
        <v>ORD0131</v>
      </c>
      <c r="B133" s="12">
        <v>46153</v>
      </c>
      <c r="C133" t="s">
        <v>60</v>
      </c>
      <c r="D133" t="s">
        <v>38</v>
      </c>
      <c r="E133">
        <v>2</v>
      </c>
      <c r="F133" s="2">
        <v>2000</v>
      </c>
      <c r="G133">
        <f>E133*F133</f>
        <v>4000</v>
      </c>
      <c r="H133" t="s">
        <v>30</v>
      </c>
      <c r="I133" t="s">
        <v>66</v>
      </c>
    </row>
    <row r="134" spans="1:9" x14ac:dyDescent="0.35">
      <c r="A134" t="str">
        <f>"ORD"&amp;TEXT(ROW()-2,"0000")</f>
        <v>ORD0132</v>
      </c>
      <c r="B134" s="12">
        <v>46154</v>
      </c>
      <c r="C134" t="s">
        <v>50</v>
      </c>
      <c r="D134" t="s">
        <v>12</v>
      </c>
      <c r="E134">
        <v>1</v>
      </c>
      <c r="F134" s="2">
        <v>2500</v>
      </c>
      <c r="G134">
        <f>E134*F134</f>
        <v>2500</v>
      </c>
      <c r="H134" t="s">
        <v>53</v>
      </c>
      <c r="I134" t="s">
        <v>936</v>
      </c>
    </row>
    <row r="135" spans="1:9" x14ac:dyDescent="0.35">
      <c r="A135" t="str">
        <f>"ORD"&amp;TEXT(ROW()-2,"0000")</f>
        <v>ORD0133</v>
      </c>
      <c r="B135" s="12">
        <v>46155</v>
      </c>
      <c r="C135" t="s">
        <v>11</v>
      </c>
      <c r="D135" t="s">
        <v>12</v>
      </c>
      <c r="E135">
        <v>9</v>
      </c>
      <c r="F135" s="2">
        <v>1800</v>
      </c>
      <c r="G135">
        <f>E135*F135</f>
        <v>16200</v>
      </c>
      <c r="H135" t="s">
        <v>47</v>
      </c>
      <c r="I135" t="s">
        <v>73</v>
      </c>
    </row>
    <row r="136" spans="1:9" x14ac:dyDescent="0.35">
      <c r="A136" t="str">
        <f>"ORD"&amp;TEXT(ROW()-2,"0000")</f>
        <v>ORD0134</v>
      </c>
      <c r="B136" s="12">
        <v>46156</v>
      </c>
      <c r="C136" t="s">
        <v>60</v>
      </c>
      <c r="D136" t="s">
        <v>38</v>
      </c>
      <c r="E136">
        <v>3</v>
      </c>
      <c r="F136" s="2">
        <v>2000</v>
      </c>
      <c r="G136">
        <f>E136*F136</f>
        <v>6000</v>
      </c>
      <c r="H136" t="s">
        <v>53</v>
      </c>
      <c r="I136" t="s">
        <v>14</v>
      </c>
    </row>
    <row r="137" spans="1:9" x14ac:dyDescent="0.35">
      <c r="A137" t="str">
        <f>"ORD"&amp;TEXT(ROW()-2,"0000")</f>
        <v>ORD0135</v>
      </c>
      <c r="B137" s="12">
        <v>46157</v>
      </c>
      <c r="C137" t="s">
        <v>89</v>
      </c>
      <c r="D137" t="s">
        <v>90</v>
      </c>
      <c r="E137">
        <v>0</v>
      </c>
      <c r="F137" s="2">
        <v>1200</v>
      </c>
      <c r="G137">
        <f>E137*F137</f>
        <v>0</v>
      </c>
      <c r="H137" t="s">
        <v>47</v>
      </c>
      <c r="I137" t="s">
        <v>107</v>
      </c>
    </row>
    <row r="138" spans="1:9" x14ac:dyDescent="0.35">
      <c r="A138" t="str">
        <f>"ORD"&amp;TEXT(ROW()-2,"0000")</f>
        <v>ORD0136</v>
      </c>
      <c r="B138" s="12">
        <v>46158</v>
      </c>
      <c r="C138" t="s">
        <v>17</v>
      </c>
      <c r="D138" t="s">
        <v>12</v>
      </c>
      <c r="E138">
        <v>10</v>
      </c>
      <c r="F138" s="2">
        <v>3000</v>
      </c>
      <c r="G138">
        <f>E138*F138</f>
        <v>30000</v>
      </c>
      <c r="H138" t="s">
        <v>18</v>
      </c>
      <c r="I138" t="s">
        <v>54</v>
      </c>
    </row>
    <row r="139" spans="1:9" x14ac:dyDescent="0.35">
      <c r="A139" t="str">
        <f>"ORD"&amp;TEXT(ROW()-2,"0000")</f>
        <v>ORD0137</v>
      </c>
      <c r="B139" s="12">
        <v>46159</v>
      </c>
      <c r="C139" t="s">
        <v>34</v>
      </c>
      <c r="D139" t="s">
        <v>29</v>
      </c>
      <c r="E139">
        <v>12</v>
      </c>
      <c r="F139" s="2">
        <v>5500</v>
      </c>
      <c r="G139">
        <f>E139*F139</f>
        <v>66000</v>
      </c>
      <c r="H139" t="s">
        <v>39</v>
      </c>
      <c r="I139" t="s">
        <v>936</v>
      </c>
    </row>
    <row r="140" spans="1:9" x14ac:dyDescent="0.35">
      <c r="A140" t="str">
        <f>"ORD"&amp;TEXT(ROW()-2,"0000")</f>
        <v>ORD0138</v>
      </c>
      <c r="B140" s="12">
        <v>46160</v>
      </c>
      <c r="C140" t="s">
        <v>21</v>
      </c>
      <c r="D140" t="s">
        <v>22</v>
      </c>
      <c r="E140">
        <v>2</v>
      </c>
      <c r="F140" s="2" t="s">
        <v>23</v>
      </c>
      <c r="G140">
        <f>E140*F140</f>
        <v>2000</v>
      </c>
      <c r="H140" t="s">
        <v>39</v>
      </c>
      <c r="I140" t="s">
        <v>76</v>
      </c>
    </row>
    <row r="141" spans="1:9" x14ac:dyDescent="0.35">
      <c r="A141" t="str">
        <f>"ORD"&amp;TEXT(ROW()-2,"0000")</f>
        <v>ORD0139</v>
      </c>
      <c r="B141" s="12">
        <v>46161</v>
      </c>
      <c r="C141" t="s">
        <v>17</v>
      </c>
      <c r="D141" t="s">
        <v>12</v>
      </c>
      <c r="E141">
        <v>9</v>
      </c>
      <c r="F141" s="2">
        <v>3000</v>
      </c>
      <c r="G141">
        <f>E141*F141</f>
        <v>27000</v>
      </c>
      <c r="H141" t="s">
        <v>18</v>
      </c>
      <c r="I141" t="s">
        <v>40</v>
      </c>
    </row>
    <row r="142" spans="1:9" x14ac:dyDescent="0.35">
      <c r="A142" t="str">
        <f>"ORD"&amp;TEXT(ROW()-2,"0000")</f>
        <v>ORD0140</v>
      </c>
      <c r="B142" s="12">
        <v>46162</v>
      </c>
      <c r="C142" t="s">
        <v>21</v>
      </c>
      <c r="D142" t="s">
        <v>22</v>
      </c>
      <c r="E142">
        <v>5</v>
      </c>
      <c r="F142" s="2">
        <v>1000</v>
      </c>
      <c r="G142">
        <f>E142*F142</f>
        <v>5000</v>
      </c>
      <c r="H142" t="s">
        <v>103</v>
      </c>
      <c r="I142" t="s">
        <v>14</v>
      </c>
    </row>
    <row r="143" spans="1:9" x14ac:dyDescent="0.35">
      <c r="A143" t="str">
        <f>"ORD"&amp;TEXT(ROW()-2,"0000")</f>
        <v>ORD0141</v>
      </c>
      <c r="B143" s="12">
        <v>46163</v>
      </c>
      <c r="C143" t="s">
        <v>11</v>
      </c>
      <c r="D143" t="s">
        <v>12</v>
      </c>
      <c r="E143">
        <v>13</v>
      </c>
      <c r="F143" s="2">
        <v>1800</v>
      </c>
      <c r="G143">
        <f>E143*F143</f>
        <v>23400</v>
      </c>
      <c r="H143" t="s">
        <v>30</v>
      </c>
      <c r="I143" t="s">
        <v>25</v>
      </c>
    </row>
    <row r="144" spans="1:9" x14ac:dyDescent="0.35">
      <c r="A144" t="str">
        <f>"ORD"&amp;TEXT(ROW()-2,"0000")</f>
        <v>ORD0142</v>
      </c>
      <c r="B144" s="12">
        <v>46164</v>
      </c>
      <c r="C144" t="s">
        <v>34</v>
      </c>
      <c r="D144" t="s">
        <v>29</v>
      </c>
      <c r="E144">
        <v>14</v>
      </c>
      <c r="F144" s="2" t="s">
        <v>69</v>
      </c>
      <c r="G144">
        <f>E144*F144</f>
        <v>77000</v>
      </c>
      <c r="H144" t="s">
        <v>30</v>
      </c>
      <c r="I144" t="s">
        <v>40</v>
      </c>
    </row>
    <row r="145" spans="1:9" x14ac:dyDescent="0.35">
      <c r="A145" t="str">
        <f>"ORD"&amp;TEXT(ROW()-2,"0000")</f>
        <v>ORD0143</v>
      </c>
      <c r="B145" s="12">
        <v>46165</v>
      </c>
      <c r="C145" t="s">
        <v>21</v>
      </c>
      <c r="D145" t="s">
        <v>22</v>
      </c>
      <c r="E145">
        <v>6</v>
      </c>
      <c r="F145" s="2">
        <v>1000</v>
      </c>
      <c r="G145">
        <f>E145*F145</f>
        <v>6000</v>
      </c>
      <c r="H145" t="s">
        <v>18</v>
      </c>
      <c r="I145" t="s">
        <v>107</v>
      </c>
    </row>
    <row r="146" spans="1:9" x14ac:dyDescent="0.35">
      <c r="A146" t="str">
        <f>"ORD"&amp;TEXT(ROW()-2,"0000")</f>
        <v>ORD0144</v>
      </c>
      <c r="B146" s="12">
        <v>46166</v>
      </c>
      <c r="C146" t="s">
        <v>17</v>
      </c>
      <c r="D146" t="s">
        <v>12</v>
      </c>
      <c r="E146">
        <v>4</v>
      </c>
      <c r="F146" s="2">
        <v>3000</v>
      </c>
      <c r="G146">
        <f>E146*F146</f>
        <v>12000</v>
      </c>
      <c r="H146" t="s">
        <v>18</v>
      </c>
      <c r="I146" t="s">
        <v>107</v>
      </c>
    </row>
    <row r="147" spans="1:9" x14ac:dyDescent="0.35">
      <c r="A147" t="str">
        <f>"ORD"&amp;TEXT(ROW()-2,"0000")</f>
        <v>ORD0145</v>
      </c>
      <c r="B147" s="12">
        <v>46167</v>
      </c>
      <c r="C147" t="s">
        <v>60</v>
      </c>
      <c r="D147" t="s">
        <v>38</v>
      </c>
      <c r="E147">
        <v>8</v>
      </c>
      <c r="F147" s="2">
        <v>2000</v>
      </c>
      <c r="G147">
        <f>E147*F147</f>
        <v>16000</v>
      </c>
      <c r="H147" t="s">
        <v>79</v>
      </c>
      <c r="I147" t="s">
        <v>14</v>
      </c>
    </row>
    <row r="148" spans="1:9" x14ac:dyDescent="0.35">
      <c r="A148" t="str">
        <f>"ORD"&amp;TEXT(ROW()-2,"0000")</f>
        <v>ORD0146</v>
      </c>
      <c r="B148" s="12">
        <v>46168</v>
      </c>
      <c r="C148" t="s">
        <v>17</v>
      </c>
      <c r="D148" t="s">
        <v>12</v>
      </c>
      <c r="E148">
        <v>0</v>
      </c>
      <c r="F148" s="2">
        <v>3000</v>
      </c>
      <c r="G148">
        <f>E148*F148</f>
        <v>0</v>
      </c>
      <c r="H148" t="s">
        <v>39</v>
      </c>
      <c r="I148" t="s">
        <v>107</v>
      </c>
    </row>
    <row r="149" spans="1:9" x14ac:dyDescent="0.35">
      <c r="A149" t="str">
        <f>"ORD"&amp;TEXT(ROW()-2,"0000")</f>
        <v>ORD0147</v>
      </c>
      <c r="B149" s="12">
        <v>46169</v>
      </c>
      <c r="C149" t="s">
        <v>28</v>
      </c>
      <c r="D149" t="s">
        <v>29</v>
      </c>
      <c r="E149">
        <v>13</v>
      </c>
      <c r="F149" s="2">
        <v>1500</v>
      </c>
      <c r="G149">
        <f>E149*F149</f>
        <v>19500</v>
      </c>
      <c r="H149" t="s">
        <v>72</v>
      </c>
      <c r="I149" t="s">
        <v>25</v>
      </c>
    </row>
    <row r="150" spans="1:9" x14ac:dyDescent="0.35">
      <c r="A150" t="str">
        <f>"ORD"&amp;TEXT(ROW()-2,"0000")</f>
        <v>ORD0148</v>
      </c>
      <c r="B150" s="12">
        <v>46170</v>
      </c>
      <c r="C150" t="s">
        <v>34</v>
      </c>
      <c r="D150" t="s">
        <v>29</v>
      </c>
      <c r="E150">
        <v>0</v>
      </c>
      <c r="F150" s="2">
        <v>5500</v>
      </c>
      <c r="G150">
        <f>E150*F150</f>
        <v>0</v>
      </c>
      <c r="H150" t="s">
        <v>79</v>
      </c>
      <c r="I150" t="s">
        <v>73</v>
      </c>
    </row>
    <row r="151" spans="1:9" x14ac:dyDescent="0.35">
      <c r="A151" t="str">
        <f>"ORD"&amp;TEXT(ROW()-2,"0000")</f>
        <v>ORD0149</v>
      </c>
      <c r="B151" s="12">
        <v>46171</v>
      </c>
      <c r="C151" t="s">
        <v>17</v>
      </c>
      <c r="D151" t="s">
        <v>12</v>
      </c>
      <c r="E151">
        <v>7</v>
      </c>
      <c r="F151" s="2">
        <v>3000</v>
      </c>
      <c r="G151">
        <f>E151*F151</f>
        <v>21000</v>
      </c>
      <c r="H151" t="s">
        <v>103</v>
      </c>
      <c r="I151" t="s">
        <v>73</v>
      </c>
    </row>
    <row r="152" spans="1:9" x14ac:dyDescent="0.35">
      <c r="A152" t="str">
        <f>"ORD"&amp;TEXT(ROW()-2,"0000")</f>
        <v>ORD0150</v>
      </c>
      <c r="B152" s="12">
        <v>46172</v>
      </c>
      <c r="C152" t="s">
        <v>34</v>
      </c>
      <c r="D152" t="s">
        <v>29</v>
      </c>
      <c r="E152">
        <v>11</v>
      </c>
      <c r="F152" s="2">
        <v>5500</v>
      </c>
      <c r="G152">
        <f>E152*F152</f>
        <v>60500</v>
      </c>
      <c r="H152" t="s">
        <v>39</v>
      </c>
      <c r="I152" t="s">
        <v>31</v>
      </c>
    </row>
    <row r="153" spans="1:9" x14ac:dyDescent="0.35">
      <c r="A153" t="str">
        <f>"ORD"&amp;TEXT(ROW()-2,"0000")</f>
        <v>ORD0151</v>
      </c>
      <c r="B153" s="12">
        <v>46173</v>
      </c>
      <c r="C153" t="s">
        <v>21</v>
      </c>
      <c r="D153" t="s">
        <v>22</v>
      </c>
      <c r="E153">
        <v>8</v>
      </c>
      <c r="F153" s="2">
        <v>1000</v>
      </c>
      <c r="G153">
        <f>E153*F153</f>
        <v>8000</v>
      </c>
      <c r="H153" t="s">
        <v>30</v>
      </c>
      <c r="I153" t="s">
        <v>936</v>
      </c>
    </row>
    <row r="154" spans="1:9" x14ac:dyDescent="0.35">
      <c r="A154" t="str">
        <f>"ORD"&amp;TEXT(ROW()-2,"0000")</f>
        <v>ORD0152</v>
      </c>
      <c r="B154" s="12">
        <v>46174</v>
      </c>
      <c r="C154" t="s">
        <v>17</v>
      </c>
      <c r="D154" t="s">
        <v>12</v>
      </c>
      <c r="E154">
        <v>4</v>
      </c>
      <c r="F154" s="2">
        <v>3000</v>
      </c>
      <c r="G154">
        <f>E154*F154</f>
        <v>12000</v>
      </c>
      <c r="H154" t="s">
        <v>72</v>
      </c>
      <c r="I154" t="s">
        <v>25</v>
      </c>
    </row>
    <row r="155" spans="1:9" x14ac:dyDescent="0.35">
      <c r="A155" t="str">
        <f>"ORD"&amp;TEXT(ROW()-2,"0000")</f>
        <v>ORD0153</v>
      </c>
      <c r="B155" s="12">
        <v>46175</v>
      </c>
      <c r="C155" t="s">
        <v>21</v>
      </c>
      <c r="D155" t="s">
        <v>22</v>
      </c>
      <c r="E155">
        <v>13</v>
      </c>
      <c r="F155" s="2">
        <v>1000</v>
      </c>
      <c r="G155">
        <f>E155*F155</f>
        <v>13000</v>
      </c>
      <c r="H155" t="s">
        <v>43</v>
      </c>
      <c r="I155" t="s">
        <v>107</v>
      </c>
    </row>
    <row r="156" spans="1:9" x14ac:dyDescent="0.35">
      <c r="A156" t="str">
        <f>"ORD"&amp;TEXT(ROW()-2,"0000")</f>
        <v>ORD0154</v>
      </c>
      <c r="B156" s="12">
        <v>46176</v>
      </c>
      <c r="C156" t="s">
        <v>34</v>
      </c>
      <c r="D156" t="s">
        <v>29</v>
      </c>
      <c r="E156">
        <v>9</v>
      </c>
      <c r="F156" s="2">
        <v>5500</v>
      </c>
      <c r="G156">
        <f>E156*F156</f>
        <v>49500</v>
      </c>
      <c r="H156" t="s">
        <v>53</v>
      </c>
      <c r="I156" t="s">
        <v>73</v>
      </c>
    </row>
    <row r="157" spans="1:9" x14ac:dyDescent="0.35">
      <c r="A157" t="str">
        <f>"ORD"&amp;TEXT(ROW()-2,"0000")</f>
        <v>ORD0155</v>
      </c>
      <c r="B157" s="12">
        <v>46177</v>
      </c>
      <c r="C157" t="s">
        <v>17</v>
      </c>
      <c r="D157" t="s">
        <v>12</v>
      </c>
      <c r="E157">
        <v>2</v>
      </c>
      <c r="F157" s="2">
        <v>3000</v>
      </c>
      <c r="G157">
        <f>E157*F157</f>
        <v>6000</v>
      </c>
      <c r="H157" t="s">
        <v>103</v>
      </c>
      <c r="I157" t="s">
        <v>31</v>
      </c>
    </row>
    <row r="158" spans="1:9" x14ac:dyDescent="0.35">
      <c r="A158" t="str">
        <f>"ORD"&amp;TEXT(ROW()-2,"0000")</f>
        <v>ORD0156</v>
      </c>
      <c r="B158" s="12">
        <v>46178</v>
      </c>
      <c r="C158" t="s">
        <v>17</v>
      </c>
      <c r="D158" t="s">
        <v>12</v>
      </c>
      <c r="E158">
        <v>2</v>
      </c>
      <c r="F158" s="2">
        <v>3000</v>
      </c>
      <c r="G158">
        <f>E158*F158</f>
        <v>6000</v>
      </c>
      <c r="H158" t="s">
        <v>30</v>
      </c>
      <c r="I158" t="s">
        <v>73</v>
      </c>
    </row>
    <row r="159" spans="1:9" x14ac:dyDescent="0.35">
      <c r="A159" t="str">
        <f>"ORD"&amp;TEXT(ROW()-2,"0000")</f>
        <v>ORD0157</v>
      </c>
      <c r="B159" s="12">
        <v>46179</v>
      </c>
      <c r="C159" t="s">
        <v>28</v>
      </c>
      <c r="D159" t="s">
        <v>29</v>
      </c>
      <c r="E159">
        <v>8</v>
      </c>
      <c r="F159" s="2">
        <v>1500</v>
      </c>
      <c r="G159">
        <f>E159*F159</f>
        <v>12000</v>
      </c>
      <c r="H159" t="s">
        <v>47</v>
      </c>
      <c r="I159" t="s">
        <v>936</v>
      </c>
    </row>
    <row r="160" spans="1:9" x14ac:dyDescent="0.35">
      <c r="A160" t="str">
        <f>"ORD"&amp;TEXT(ROW()-2,"0000")</f>
        <v>ORD0158</v>
      </c>
      <c r="B160" s="12">
        <v>46180</v>
      </c>
      <c r="C160" t="s">
        <v>11</v>
      </c>
      <c r="D160" t="s">
        <v>12</v>
      </c>
      <c r="E160">
        <v>10</v>
      </c>
      <c r="F160" s="2">
        <v>1800</v>
      </c>
      <c r="G160">
        <f>E160*F160</f>
        <v>18000</v>
      </c>
      <c r="H160" t="s">
        <v>72</v>
      </c>
      <c r="I160" t="s">
        <v>54</v>
      </c>
    </row>
    <row r="161" spans="1:9" x14ac:dyDescent="0.35">
      <c r="A161" t="str">
        <f>"ORD"&amp;TEXT(ROW()-2,"0000")</f>
        <v>ORD0159</v>
      </c>
      <c r="B161" s="12">
        <v>46181</v>
      </c>
      <c r="C161" t="s">
        <v>50</v>
      </c>
      <c r="D161" t="s">
        <v>12</v>
      </c>
      <c r="E161">
        <v>9</v>
      </c>
      <c r="F161" s="2">
        <v>2500</v>
      </c>
      <c r="G161">
        <f>E161*F161</f>
        <v>22500</v>
      </c>
      <c r="H161" t="s">
        <v>72</v>
      </c>
      <c r="I161" t="s">
        <v>25</v>
      </c>
    </row>
    <row r="162" spans="1:9" x14ac:dyDescent="0.35">
      <c r="A162" t="str">
        <f>"ORD"&amp;TEXT(ROW()-2,"0000")</f>
        <v>ORD0160</v>
      </c>
      <c r="B162" s="12">
        <v>46182</v>
      </c>
      <c r="C162" t="s">
        <v>89</v>
      </c>
      <c r="D162" t="s">
        <v>90</v>
      </c>
      <c r="E162">
        <v>13</v>
      </c>
      <c r="F162" s="2">
        <v>1200</v>
      </c>
      <c r="G162">
        <f>E162*F162</f>
        <v>15600</v>
      </c>
      <c r="H162" t="s">
        <v>39</v>
      </c>
      <c r="I162" t="s">
        <v>76</v>
      </c>
    </row>
    <row r="163" spans="1:9" x14ac:dyDescent="0.35">
      <c r="A163" t="str">
        <f>"ORD"&amp;TEXT(ROW()-2,"0000")</f>
        <v>ORD0161</v>
      </c>
      <c r="B163" s="12">
        <v>46183</v>
      </c>
      <c r="C163" t="s">
        <v>17</v>
      </c>
      <c r="D163" t="s">
        <v>12</v>
      </c>
      <c r="E163">
        <v>0</v>
      </c>
      <c r="F163" s="2">
        <v>3000</v>
      </c>
      <c r="G163">
        <f>E163*F163</f>
        <v>0</v>
      </c>
      <c r="H163" t="s">
        <v>103</v>
      </c>
      <c r="I163" t="s">
        <v>14</v>
      </c>
    </row>
    <row r="164" spans="1:9" x14ac:dyDescent="0.35">
      <c r="A164" t="str">
        <f>"ORD"&amp;TEXT(ROW()-2,"0000")</f>
        <v>ORD0162</v>
      </c>
      <c r="B164" s="12">
        <v>46184</v>
      </c>
      <c r="C164" t="s">
        <v>21</v>
      </c>
      <c r="D164" t="s">
        <v>22</v>
      </c>
      <c r="E164">
        <v>11</v>
      </c>
      <c r="F164" s="2">
        <v>1000</v>
      </c>
      <c r="G164">
        <f>E164*F164</f>
        <v>11000</v>
      </c>
      <c r="H164" t="s">
        <v>47</v>
      </c>
      <c r="I164" t="s">
        <v>40</v>
      </c>
    </row>
    <row r="165" spans="1:9" x14ac:dyDescent="0.35">
      <c r="A165" t="str">
        <f>"ORD"&amp;TEXT(ROW()-2,"0000")</f>
        <v>ORD0163</v>
      </c>
      <c r="B165" s="12">
        <v>46185</v>
      </c>
      <c r="C165" t="s">
        <v>17</v>
      </c>
      <c r="D165" t="s">
        <v>12</v>
      </c>
      <c r="E165">
        <v>5</v>
      </c>
      <c r="F165" s="2">
        <v>3000</v>
      </c>
      <c r="G165">
        <f>E165*F165</f>
        <v>15000</v>
      </c>
      <c r="H165" t="s">
        <v>103</v>
      </c>
      <c r="I165" t="s">
        <v>40</v>
      </c>
    </row>
    <row r="166" spans="1:9" x14ac:dyDescent="0.35">
      <c r="A166" t="str">
        <f>"ORD"&amp;TEXT(ROW()-2,"0000")</f>
        <v>ORD0164</v>
      </c>
      <c r="B166" s="12">
        <v>46186</v>
      </c>
      <c r="C166" t="s">
        <v>89</v>
      </c>
      <c r="D166" t="s">
        <v>90</v>
      </c>
      <c r="E166">
        <v>7</v>
      </c>
      <c r="F166" s="2">
        <v>1200</v>
      </c>
      <c r="G166">
        <f>E166*F166</f>
        <v>8400</v>
      </c>
      <c r="H166" t="s">
        <v>47</v>
      </c>
      <c r="I166" t="s">
        <v>107</v>
      </c>
    </row>
    <row r="167" spans="1:9" x14ac:dyDescent="0.35">
      <c r="A167" t="str">
        <f>"ORD"&amp;TEXT(ROW()-2,"0000")</f>
        <v>ORD0165</v>
      </c>
      <c r="B167" s="12">
        <v>46187</v>
      </c>
      <c r="C167" t="s">
        <v>17</v>
      </c>
      <c r="D167" t="s">
        <v>12</v>
      </c>
      <c r="E167">
        <v>9</v>
      </c>
      <c r="F167" s="2">
        <v>3000</v>
      </c>
      <c r="G167">
        <f>E167*F167</f>
        <v>27000</v>
      </c>
      <c r="H167" t="s">
        <v>103</v>
      </c>
      <c r="I167" t="s">
        <v>66</v>
      </c>
    </row>
    <row r="168" spans="1:9" x14ac:dyDescent="0.35">
      <c r="A168" t="str">
        <f>"ORD"&amp;TEXT(ROW()-2,"0000")</f>
        <v>ORD0166</v>
      </c>
      <c r="B168" s="12">
        <v>46188</v>
      </c>
      <c r="C168" t="s">
        <v>28</v>
      </c>
      <c r="D168" t="s">
        <v>29</v>
      </c>
      <c r="E168">
        <v>6</v>
      </c>
      <c r="F168" s="2">
        <v>1500</v>
      </c>
      <c r="G168">
        <f>E168*F168</f>
        <v>9000</v>
      </c>
      <c r="H168" t="s">
        <v>24</v>
      </c>
      <c r="I168" t="s">
        <v>54</v>
      </c>
    </row>
    <row r="169" spans="1:9" x14ac:dyDescent="0.35">
      <c r="A169" t="str">
        <f>"ORD"&amp;TEXT(ROW()-2,"0000")</f>
        <v>ORD0167</v>
      </c>
      <c r="B169" s="12">
        <v>46189</v>
      </c>
      <c r="C169" t="s">
        <v>34</v>
      </c>
      <c r="D169" t="s">
        <v>29</v>
      </c>
      <c r="E169">
        <v>12</v>
      </c>
      <c r="F169" s="2">
        <v>5500</v>
      </c>
      <c r="G169">
        <f>E169*F169</f>
        <v>66000</v>
      </c>
      <c r="H169" t="s">
        <v>103</v>
      </c>
      <c r="I169" t="s">
        <v>14</v>
      </c>
    </row>
    <row r="170" spans="1:9" x14ac:dyDescent="0.35">
      <c r="A170" t="str">
        <f>"ORD"&amp;TEXT(ROW()-2,"0000")</f>
        <v>ORD0168</v>
      </c>
      <c r="B170" s="12">
        <v>46190</v>
      </c>
      <c r="C170" t="s">
        <v>21</v>
      </c>
      <c r="D170" t="s">
        <v>22</v>
      </c>
      <c r="E170">
        <v>4</v>
      </c>
      <c r="F170" s="2" t="s">
        <v>23</v>
      </c>
      <c r="G170">
        <f>E170*F170</f>
        <v>4000</v>
      </c>
      <c r="H170" t="s">
        <v>123</v>
      </c>
      <c r="I170" t="s">
        <v>936</v>
      </c>
    </row>
    <row r="171" spans="1:9" x14ac:dyDescent="0.35">
      <c r="A171" t="str">
        <f>"ORD"&amp;TEXT(ROW()-2,"0000")</f>
        <v>ORD0169</v>
      </c>
      <c r="B171" s="12">
        <v>46191</v>
      </c>
      <c r="C171" t="s">
        <v>11</v>
      </c>
      <c r="D171" t="s">
        <v>12</v>
      </c>
      <c r="E171">
        <v>8</v>
      </c>
      <c r="F171" s="2">
        <v>1800</v>
      </c>
      <c r="G171">
        <f>E171*F171</f>
        <v>14400</v>
      </c>
      <c r="H171" t="s">
        <v>43</v>
      </c>
      <c r="I171" t="s">
        <v>63</v>
      </c>
    </row>
    <row r="172" spans="1:9" x14ac:dyDescent="0.35">
      <c r="A172" t="str">
        <f>"ORD"&amp;TEXT(ROW()-2,"0000")</f>
        <v>ORD0170</v>
      </c>
      <c r="B172" s="12">
        <v>46192</v>
      </c>
      <c r="C172" t="s">
        <v>89</v>
      </c>
      <c r="D172" t="s">
        <v>90</v>
      </c>
      <c r="E172">
        <v>12</v>
      </c>
      <c r="F172" s="2">
        <v>1200</v>
      </c>
      <c r="G172">
        <f>E172*F172</f>
        <v>14400</v>
      </c>
      <c r="H172" t="s">
        <v>47</v>
      </c>
      <c r="I172" t="s">
        <v>54</v>
      </c>
    </row>
    <row r="173" spans="1:9" x14ac:dyDescent="0.35">
      <c r="A173" t="str">
        <f>"ORD"&amp;TEXT(ROW()-2,"0000")</f>
        <v>ORD0171</v>
      </c>
      <c r="B173" s="12">
        <v>46193</v>
      </c>
      <c r="C173" t="s">
        <v>21</v>
      </c>
      <c r="D173" t="s">
        <v>22</v>
      </c>
      <c r="E173">
        <v>5</v>
      </c>
      <c r="F173" s="2">
        <v>1000</v>
      </c>
      <c r="G173">
        <f>E173*F173</f>
        <v>5000</v>
      </c>
      <c r="H173" t="s">
        <v>103</v>
      </c>
      <c r="I173" t="s">
        <v>107</v>
      </c>
    </row>
    <row r="174" spans="1:9" x14ac:dyDescent="0.35">
      <c r="A174" t="str">
        <f>"ORD"&amp;TEXT(ROW()-2,"0000")</f>
        <v>ORD0172</v>
      </c>
      <c r="B174" s="12">
        <v>46194</v>
      </c>
      <c r="C174" t="s">
        <v>34</v>
      </c>
      <c r="D174" t="s">
        <v>29</v>
      </c>
      <c r="E174">
        <v>8</v>
      </c>
      <c r="F174" s="2">
        <v>5500</v>
      </c>
      <c r="G174">
        <f>E174*F174</f>
        <v>44000</v>
      </c>
      <c r="H174" t="s">
        <v>53</v>
      </c>
      <c r="I174" t="s">
        <v>63</v>
      </c>
    </row>
    <row r="175" spans="1:9" x14ac:dyDescent="0.35">
      <c r="A175" t="str">
        <f>"ORD"&amp;TEXT(ROW()-2,"0000")</f>
        <v>ORD0173</v>
      </c>
      <c r="B175" s="12">
        <v>46195</v>
      </c>
      <c r="C175" t="s">
        <v>89</v>
      </c>
      <c r="D175" t="s">
        <v>90</v>
      </c>
      <c r="E175">
        <v>3</v>
      </c>
      <c r="F175" s="2">
        <v>1200</v>
      </c>
      <c r="G175">
        <f>E175*F175</f>
        <v>3600</v>
      </c>
      <c r="H175" t="s">
        <v>79</v>
      </c>
      <c r="I175" t="s">
        <v>14</v>
      </c>
    </row>
    <row r="176" spans="1:9" x14ac:dyDescent="0.35">
      <c r="A176" t="str">
        <f>"ORD"&amp;TEXT(ROW()-2,"0000")</f>
        <v>ORD0174</v>
      </c>
      <c r="B176" s="12">
        <v>46196</v>
      </c>
      <c r="C176" t="s">
        <v>60</v>
      </c>
      <c r="D176" t="s">
        <v>38</v>
      </c>
      <c r="E176">
        <v>3</v>
      </c>
      <c r="F176" s="2">
        <v>2000</v>
      </c>
      <c r="G176">
        <f>E176*F176</f>
        <v>6000</v>
      </c>
      <c r="H176" t="s">
        <v>30</v>
      </c>
      <c r="I176" t="s">
        <v>73</v>
      </c>
    </row>
    <row r="177" spans="1:9" x14ac:dyDescent="0.35">
      <c r="A177" t="str">
        <f>"ORD"&amp;TEXT(ROW()-2,"0000")</f>
        <v>ORD0175</v>
      </c>
      <c r="B177" s="12">
        <v>46197</v>
      </c>
      <c r="C177" t="s">
        <v>34</v>
      </c>
      <c r="D177" t="s">
        <v>29</v>
      </c>
      <c r="E177">
        <v>13</v>
      </c>
      <c r="F177" s="2">
        <v>5500</v>
      </c>
      <c r="G177">
        <f>E177*F177</f>
        <v>71500</v>
      </c>
      <c r="H177" t="s">
        <v>24</v>
      </c>
      <c r="I177" t="s">
        <v>40</v>
      </c>
    </row>
    <row r="178" spans="1:9" x14ac:dyDescent="0.35">
      <c r="A178" t="str">
        <f>"ORD"&amp;TEXT(ROW()-2,"0000")</f>
        <v>ORD0176</v>
      </c>
      <c r="B178" s="12">
        <v>46198</v>
      </c>
      <c r="C178" t="s">
        <v>60</v>
      </c>
      <c r="D178" t="s">
        <v>38</v>
      </c>
      <c r="E178">
        <v>0</v>
      </c>
      <c r="F178" s="2">
        <v>2000</v>
      </c>
      <c r="G178">
        <f>E178*F178</f>
        <v>0</v>
      </c>
      <c r="H178" t="s">
        <v>53</v>
      </c>
      <c r="I178" t="s">
        <v>73</v>
      </c>
    </row>
    <row r="179" spans="1:9" x14ac:dyDescent="0.35">
      <c r="A179" t="str">
        <f>"ORD"&amp;TEXT(ROW()-2,"0000")</f>
        <v>ORD0177</v>
      </c>
      <c r="B179" s="12">
        <v>46199</v>
      </c>
      <c r="C179" t="s">
        <v>34</v>
      </c>
      <c r="D179" t="s">
        <v>29</v>
      </c>
      <c r="E179">
        <v>12</v>
      </c>
      <c r="F179" s="2">
        <v>5500</v>
      </c>
      <c r="G179">
        <f>E179*F179</f>
        <v>66000</v>
      </c>
      <c r="H179" t="s">
        <v>47</v>
      </c>
      <c r="I179" t="s">
        <v>14</v>
      </c>
    </row>
    <row r="180" spans="1:9" x14ac:dyDescent="0.35">
      <c r="A180" t="str">
        <f>"ORD"&amp;TEXT(ROW()-2,"0000")</f>
        <v>ORD0178</v>
      </c>
      <c r="B180" s="12">
        <v>46200</v>
      </c>
      <c r="C180" t="s">
        <v>17</v>
      </c>
      <c r="D180" t="s">
        <v>12</v>
      </c>
      <c r="E180">
        <v>5</v>
      </c>
      <c r="F180" s="2">
        <v>3000</v>
      </c>
      <c r="G180">
        <f>E180*F180</f>
        <v>15000</v>
      </c>
      <c r="H180" t="s">
        <v>79</v>
      </c>
      <c r="I180" t="s">
        <v>40</v>
      </c>
    </row>
    <row r="181" spans="1:9" x14ac:dyDescent="0.35">
      <c r="A181" t="str">
        <f>"ORD"&amp;TEXT(ROW()-2,"0000")</f>
        <v>ORD0179</v>
      </c>
      <c r="B181" s="12">
        <v>46201</v>
      </c>
      <c r="C181" t="s">
        <v>50</v>
      </c>
      <c r="D181" t="s">
        <v>12</v>
      </c>
      <c r="E181">
        <v>15</v>
      </c>
      <c r="F181" s="2">
        <v>2500</v>
      </c>
      <c r="G181">
        <f>E181*F181</f>
        <v>37500</v>
      </c>
      <c r="H181" t="s">
        <v>18</v>
      </c>
      <c r="I181" t="s">
        <v>40</v>
      </c>
    </row>
    <row r="182" spans="1:9" x14ac:dyDescent="0.35">
      <c r="A182" t="str">
        <f>"ORD"&amp;TEXT(ROW()-2,"0000")</f>
        <v>ORD0180</v>
      </c>
      <c r="B182" s="12">
        <v>46202</v>
      </c>
      <c r="C182" t="s">
        <v>60</v>
      </c>
      <c r="D182" t="s">
        <v>38</v>
      </c>
      <c r="E182">
        <v>13</v>
      </c>
      <c r="F182" s="2">
        <v>2000</v>
      </c>
      <c r="G182">
        <f>E182*F182</f>
        <v>26000</v>
      </c>
      <c r="H182" t="s">
        <v>123</v>
      </c>
      <c r="I182" t="s">
        <v>66</v>
      </c>
    </row>
    <row r="183" spans="1:9" x14ac:dyDescent="0.35">
      <c r="A183" t="str">
        <f>"ORD"&amp;TEXT(ROW()-2,"0000")</f>
        <v>ORD0181</v>
      </c>
      <c r="B183" s="12">
        <v>46203</v>
      </c>
      <c r="C183" t="s">
        <v>11</v>
      </c>
      <c r="D183" t="s">
        <v>12</v>
      </c>
      <c r="E183">
        <v>11</v>
      </c>
      <c r="F183" s="2">
        <v>1800</v>
      </c>
      <c r="G183">
        <f>E183*F183</f>
        <v>19800</v>
      </c>
      <c r="H183" t="s">
        <v>18</v>
      </c>
      <c r="I183" t="s">
        <v>54</v>
      </c>
    </row>
    <row r="184" spans="1:9" x14ac:dyDescent="0.35">
      <c r="A184" t="str">
        <f>"ORD"&amp;TEXT(ROW()-2,"0000")</f>
        <v>ORD0182</v>
      </c>
      <c r="B184" s="12">
        <v>46204</v>
      </c>
      <c r="C184" t="s">
        <v>34</v>
      </c>
      <c r="D184" t="s">
        <v>29</v>
      </c>
      <c r="E184">
        <v>9</v>
      </c>
      <c r="F184" s="2">
        <v>5500</v>
      </c>
      <c r="G184">
        <f>E184*F184</f>
        <v>49500</v>
      </c>
      <c r="H184" t="s">
        <v>79</v>
      </c>
      <c r="I184" t="s">
        <v>107</v>
      </c>
    </row>
    <row r="185" spans="1:9" x14ac:dyDescent="0.35">
      <c r="A185" t="str">
        <f>"ORD"&amp;TEXT(ROW()-2,"0000")</f>
        <v>ORD0183</v>
      </c>
      <c r="B185" s="12">
        <v>46205</v>
      </c>
      <c r="C185" t="s">
        <v>17</v>
      </c>
      <c r="D185" t="s">
        <v>12</v>
      </c>
      <c r="E185">
        <v>6</v>
      </c>
      <c r="F185" s="2">
        <v>3000</v>
      </c>
      <c r="G185">
        <f>E185*F185</f>
        <v>18000</v>
      </c>
      <c r="H185" t="s">
        <v>43</v>
      </c>
      <c r="I185" t="s">
        <v>63</v>
      </c>
    </row>
    <row r="186" spans="1:9" x14ac:dyDescent="0.35">
      <c r="A186" t="str">
        <f>"ORD"&amp;TEXT(ROW()-2,"0000")</f>
        <v>ORD0184</v>
      </c>
      <c r="B186" s="12">
        <v>46206</v>
      </c>
      <c r="C186" t="s">
        <v>11</v>
      </c>
      <c r="D186" t="s">
        <v>12</v>
      </c>
      <c r="E186">
        <v>15</v>
      </c>
      <c r="F186" s="2">
        <v>1800</v>
      </c>
      <c r="G186">
        <f>E186*F186</f>
        <v>27000</v>
      </c>
      <c r="H186" t="s">
        <v>13</v>
      </c>
      <c r="I186" t="s">
        <v>66</v>
      </c>
    </row>
    <row r="187" spans="1:9" x14ac:dyDescent="0.35">
      <c r="A187" t="str">
        <f>"ORD"&amp;TEXT(ROW()-2,"0000")</f>
        <v>ORD0185</v>
      </c>
      <c r="B187" s="12">
        <v>46207</v>
      </c>
      <c r="C187" t="s">
        <v>28</v>
      </c>
      <c r="D187" t="s">
        <v>29</v>
      </c>
      <c r="E187">
        <v>10</v>
      </c>
      <c r="F187" s="2">
        <v>1500</v>
      </c>
      <c r="G187">
        <f>E187*F187</f>
        <v>15000</v>
      </c>
      <c r="H187" t="s">
        <v>30</v>
      </c>
      <c r="I187" t="s">
        <v>25</v>
      </c>
    </row>
    <row r="188" spans="1:9" x14ac:dyDescent="0.35">
      <c r="A188" t="str">
        <f>"ORD"&amp;TEXT(ROW()-2,"0000")</f>
        <v>ORD0186</v>
      </c>
      <c r="B188" s="12">
        <v>46208</v>
      </c>
      <c r="C188" t="s">
        <v>89</v>
      </c>
      <c r="D188" t="s">
        <v>90</v>
      </c>
      <c r="E188">
        <v>1</v>
      </c>
      <c r="F188" s="2">
        <v>1200</v>
      </c>
      <c r="G188">
        <f>E188*F188</f>
        <v>1200</v>
      </c>
      <c r="H188" t="s">
        <v>18</v>
      </c>
      <c r="I188" t="s">
        <v>31</v>
      </c>
    </row>
    <row r="189" spans="1:9" x14ac:dyDescent="0.35">
      <c r="A189" t="str">
        <f>"ORD"&amp;TEXT(ROW()-2,"0000")</f>
        <v>ORD0187</v>
      </c>
      <c r="B189" s="12">
        <v>46209</v>
      </c>
      <c r="C189" t="s">
        <v>21</v>
      </c>
      <c r="D189" t="s">
        <v>22</v>
      </c>
      <c r="E189">
        <v>6</v>
      </c>
      <c r="F189" s="2">
        <v>1000</v>
      </c>
      <c r="G189">
        <f>E189*F189</f>
        <v>6000</v>
      </c>
      <c r="H189" t="s">
        <v>18</v>
      </c>
      <c r="I189" t="s">
        <v>76</v>
      </c>
    </row>
    <row r="190" spans="1:9" x14ac:dyDescent="0.35">
      <c r="A190" t="str">
        <f>"ORD"&amp;TEXT(ROW()-2,"0000")</f>
        <v>ORD0188</v>
      </c>
      <c r="B190" s="12">
        <v>46210</v>
      </c>
      <c r="C190" t="s">
        <v>60</v>
      </c>
      <c r="D190" t="s">
        <v>38</v>
      </c>
      <c r="E190">
        <v>6</v>
      </c>
      <c r="F190" s="2">
        <v>2000</v>
      </c>
      <c r="G190">
        <f>E190*F190</f>
        <v>12000</v>
      </c>
      <c r="H190" t="s">
        <v>103</v>
      </c>
      <c r="I190" t="s">
        <v>76</v>
      </c>
    </row>
    <row r="191" spans="1:9" x14ac:dyDescent="0.35">
      <c r="A191" t="str">
        <f>"ORD"&amp;TEXT(ROW()-2,"0000")</f>
        <v>ORD0189</v>
      </c>
      <c r="B191" s="12">
        <v>46211</v>
      </c>
      <c r="C191" t="s">
        <v>21</v>
      </c>
      <c r="D191" t="s">
        <v>22</v>
      </c>
      <c r="E191">
        <v>12</v>
      </c>
      <c r="F191" s="2">
        <v>1000</v>
      </c>
      <c r="G191">
        <f>E191*F191</f>
        <v>12000</v>
      </c>
      <c r="H191" t="s">
        <v>13</v>
      </c>
      <c r="I191" t="s">
        <v>107</v>
      </c>
    </row>
    <row r="192" spans="1:9" x14ac:dyDescent="0.35">
      <c r="A192" t="str">
        <f>"ORD"&amp;TEXT(ROW()-2,"0000")</f>
        <v>ORD0190</v>
      </c>
      <c r="B192" s="12">
        <v>46212</v>
      </c>
      <c r="C192" t="s">
        <v>50</v>
      </c>
      <c r="D192" t="s">
        <v>12</v>
      </c>
      <c r="E192">
        <v>11</v>
      </c>
      <c r="F192" s="2">
        <v>2500</v>
      </c>
      <c r="G192">
        <f>E192*F192</f>
        <v>27500</v>
      </c>
      <c r="H192" t="s">
        <v>30</v>
      </c>
      <c r="I192" t="s">
        <v>14</v>
      </c>
    </row>
    <row r="193" spans="1:9" x14ac:dyDescent="0.35">
      <c r="A193" t="str">
        <f>"ORD"&amp;TEXT(ROW()-2,"0000")</f>
        <v>ORD0191</v>
      </c>
      <c r="B193" s="12">
        <v>46213</v>
      </c>
      <c r="C193" t="s">
        <v>50</v>
      </c>
      <c r="D193" t="s">
        <v>12</v>
      </c>
      <c r="E193">
        <v>10</v>
      </c>
      <c r="F193" s="2">
        <v>2500</v>
      </c>
      <c r="G193">
        <f>E193*F193</f>
        <v>25000</v>
      </c>
      <c r="H193" t="s">
        <v>13</v>
      </c>
      <c r="I193" t="s">
        <v>40</v>
      </c>
    </row>
    <row r="194" spans="1:9" x14ac:dyDescent="0.35">
      <c r="A194" t="str">
        <f>"ORD"&amp;TEXT(ROW()-2,"0000")</f>
        <v>ORD0192</v>
      </c>
      <c r="B194" s="12">
        <v>46214</v>
      </c>
      <c r="C194" t="s">
        <v>17</v>
      </c>
      <c r="D194" t="s">
        <v>12</v>
      </c>
      <c r="E194">
        <v>3</v>
      </c>
      <c r="F194" s="2">
        <v>3000</v>
      </c>
      <c r="G194">
        <f>E194*F194</f>
        <v>9000</v>
      </c>
      <c r="H194" t="s">
        <v>103</v>
      </c>
      <c r="I194" t="s">
        <v>31</v>
      </c>
    </row>
    <row r="195" spans="1:9" x14ac:dyDescent="0.35">
      <c r="A195" t="str">
        <f>"ORD"&amp;TEXT(ROW()-2,"0000")</f>
        <v>ORD0193</v>
      </c>
      <c r="B195" s="12">
        <v>46215</v>
      </c>
      <c r="C195" t="s">
        <v>28</v>
      </c>
      <c r="D195" t="s">
        <v>29</v>
      </c>
      <c r="E195">
        <v>3</v>
      </c>
      <c r="F195" s="2">
        <v>1500</v>
      </c>
      <c r="G195">
        <f>E195*F195</f>
        <v>4500</v>
      </c>
      <c r="H195" t="s">
        <v>39</v>
      </c>
      <c r="I195" t="s">
        <v>66</v>
      </c>
    </row>
    <row r="196" spans="1:9" x14ac:dyDescent="0.35">
      <c r="A196" t="str">
        <f>"ORD"&amp;TEXT(ROW()-2,"0000")</f>
        <v>ORD0194</v>
      </c>
      <c r="B196" s="12">
        <v>46216</v>
      </c>
      <c r="C196" t="s">
        <v>50</v>
      </c>
      <c r="D196" t="s">
        <v>12</v>
      </c>
      <c r="E196">
        <v>2</v>
      </c>
      <c r="F196" s="2" t="s">
        <v>298</v>
      </c>
      <c r="G196">
        <f>E196*F196</f>
        <v>5000</v>
      </c>
      <c r="H196" t="s">
        <v>123</v>
      </c>
      <c r="I196" t="s">
        <v>76</v>
      </c>
    </row>
    <row r="197" spans="1:9" x14ac:dyDescent="0.35">
      <c r="A197" t="str">
        <f>"ORD"&amp;TEXT(ROW()-2,"0000")</f>
        <v>ORD0195</v>
      </c>
      <c r="B197" s="12">
        <v>46217</v>
      </c>
      <c r="C197" t="s">
        <v>11</v>
      </c>
      <c r="D197" t="s">
        <v>12</v>
      </c>
      <c r="E197">
        <v>15</v>
      </c>
      <c r="F197" s="2">
        <v>1800</v>
      </c>
      <c r="G197">
        <f>E197*F197</f>
        <v>27000</v>
      </c>
      <c r="H197" t="s">
        <v>72</v>
      </c>
      <c r="I197" t="s">
        <v>73</v>
      </c>
    </row>
    <row r="198" spans="1:9" x14ac:dyDescent="0.35">
      <c r="A198" t="str">
        <f>"ORD"&amp;TEXT(ROW()-2,"0000")</f>
        <v>ORD0196</v>
      </c>
      <c r="B198" s="12">
        <v>46218</v>
      </c>
      <c r="C198" t="s">
        <v>11</v>
      </c>
      <c r="D198" t="s">
        <v>12</v>
      </c>
      <c r="E198">
        <v>10</v>
      </c>
      <c r="F198" s="2">
        <v>1800</v>
      </c>
      <c r="G198">
        <f>E198*F198</f>
        <v>18000</v>
      </c>
      <c r="H198" t="s">
        <v>18</v>
      </c>
      <c r="I198" t="s">
        <v>107</v>
      </c>
    </row>
    <row r="199" spans="1:9" x14ac:dyDescent="0.35">
      <c r="A199" t="str">
        <f>"ORD"&amp;TEXT(ROW()-2,"0000")</f>
        <v>ORD0197</v>
      </c>
      <c r="B199" s="12">
        <v>46219</v>
      </c>
      <c r="C199" t="s">
        <v>50</v>
      </c>
      <c r="D199" t="s">
        <v>12</v>
      </c>
      <c r="E199">
        <v>1</v>
      </c>
      <c r="F199" s="2">
        <v>2500</v>
      </c>
      <c r="G199">
        <f>E199*F199</f>
        <v>2500</v>
      </c>
      <c r="H199" t="s">
        <v>103</v>
      </c>
      <c r="I199" t="s">
        <v>25</v>
      </c>
    </row>
    <row r="200" spans="1:9" x14ac:dyDescent="0.35">
      <c r="A200" t="str">
        <f>"ORD"&amp;TEXT(ROW()-2,"0000")</f>
        <v>ORD0198</v>
      </c>
      <c r="B200" s="12">
        <v>46220</v>
      </c>
      <c r="C200" t="s">
        <v>60</v>
      </c>
      <c r="D200" t="s">
        <v>38</v>
      </c>
      <c r="E200">
        <v>6</v>
      </c>
      <c r="F200" s="2">
        <v>2000</v>
      </c>
      <c r="G200">
        <f>E200*F200</f>
        <v>12000</v>
      </c>
      <c r="H200" t="s">
        <v>103</v>
      </c>
      <c r="I200" t="s">
        <v>107</v>
      </c>
    </row>
    <row r="201" spans="1:9" x14ac:dyDescent="0.35">
      <c r="A201" t="str">
        <f>"ORD"&amp;TEXT(ROW()-2,"0000")</f>
        <v>ORD0199</v>
      </c>
      <c r="B201" s="12">
        <v>46221</v>
      </c>
      <c r="C201" t="s">
        <v>89</v>
      </c>
      <c r="D201" t="s">
        <v>90</v>
      </c>
      <c r="E201">
        <v>13</v>
      </c>
      <c r="F201" s="2">
        <v>1200</v>
      </c>
      <c r="G201">
        <f>E201*F201</f>
        <v>15600</v>
      </c>
      <c r="H201" t="s">
        <v>13</v>
      </c>
      <c r="I201" t="s">
        <v>14</v>
      </c>
    </row>
    <row r="202" spans="1:9" x14ac:dyDescent="0.35">
      <c r="A202" t="str">
        <f>"ORD"&amp;TEXT(ROW()-2,"0000")</f>
        <v>ORD0200</v>
      </c>
      <c r="B202" s="12">
        <v>46222</v>
      </c>
      <c r="C202" t="s">
        <v>60</v>
      </c>
      <c r="D202" t="s">
        <v>38</v>
      </c>
      <c r="E202">
        <v>4</v>
      </c>
      <c r="F202" s="2">
        <v>2000</v>
      </c>
      <c r="G202">
        <f>E202*F202</f>
        <v>8000</v>
      </c>
      <c r="H202" t="s">
        <v>24</v>
      </c>
      <c r="I202" t="s">
        <v>54</v>
      </c>
    </row>
    <row r="203" spans="1:9" x14ac:dyDescent="0.35">
      <c r="A203" t="str">
        <f>"ORD"&amp;TEXT(ROW()-2,"0000")</f>
        <v>ORD0201</v>
      </c>
      <c r="B203" s="12">
        <v>46223</v>
      </c>
      <c r="C203" t="s">
        <v>34</v>
      </c>
      <c r="D203" t="s">
        <v>29</v>
      </c>
      <c r="E203">
        <v>9</v>
      </c>
      <c r="F203" s="2">
        <v>5500</v>
      </c>
      <c r="G203">
        <f>E203*F203</f>
        <v>49500</v>
      </c>
      <c r="H203" t="s">
        <v>30</v>
      </c>
      <c r="I203" t="s">
        <v>936</v>
      </c>
    </row>
    <row r="204" spans="1:9" x14ac:dyDescent="0.35">
      <c r="A204" t="str">
        <f>"ORD"&amp;TEXT(ROW()-2,"0000")</f>
        <v>ORD0202</v>
      </c>
      <c r="B204" s="12">
        <v>46224</v>
      </c>
      <c r="C204" t="s">
        <v>17</v>
      </c>
      <c r="D204" t="s">
        <v>12</v>
      </c>
      <c r="E204">
        <v>2</v>
      </c>
      <c r="F204" s="2">
        <v>3000</v>
      </c>
      <c r="G204">
        <f>E204*F204</f>
        <v>6000</v>
      </c>
      <c r="H204" t="s">
        <v>24</v>
      </c>
      <c r="I204" t="s">
        <v>107</v>
      </c>
    </row>
    <row r="205" spans="1:9" x14ac:dyDescent="0.35">
      <c r="A205" t="str">
        <f>"ORD"&amp;TEXT(ROW()-2,"0000")</f>
        <v>ORD0203</v>
      </c>
      <c r="B205" s="12">
        <v>46225</v>
      </c>
      <c r="C205" t="s">
        <v>60</v>
      </c>
      <c r="D205" t="s">
        <v>38</v>
      </c>
      <c r="E205">
        <v>12</v>
      </c>
      <c r="F205" s="2">
        <v>2000</v>
      </c>
      <c r="G205">
        <f>E205*F205</f>
        <v>24000</v>
      </c>
      <c r="H205" t="s">
        <v>13</v>
      </c>
      <c r="I205" t="s">
        <v>63</v>
      </c>
    </row>
    <row r="206" spans="1:9" x14ac:dyDescent="0.35">
      <c r="A206" t="str">
        <f>"ORD"&amp;TEXT(ROW()-2,"0000")</f>
        <v>ORD0204</v>
      </c>
      <c r="B206" s="12">
        <v>46226</v>
      </c>
      <c r="C206" t="s">
        <v>28</v>
      </c>
      <c r="D206" t="s">
        <v>29</v>
      </c>
      <c r="E206">
        <v>3</v>
      </c>
      <c r="F206" s="2">
        <v>1500</v>
      </c>
      <c r="G206">
        <f>E206*F206</f>
        <v>4500</v>
      </c>
      <c r="H206" t="s">
        <v>30</v>
      </c>
      <c r="I206" t="s">
        <v>66</v>
      </c>
    </row>
    <row r="207" spans="1:9" x14ac:dyDescent="0.35">
      <c r="A207" t="str">
        <f>"ORD"&amp;TEXT(ROW()-2,"0000")</f>
        <v>ORD0205</v>
      </c>
      <c r="B207" s="12">
        <v>46227</v>
      </c>
      <c r="C207" t="s">
        <v>60</v>
      </c>
      <c r="D207" t="s">
        <v>38</v>
      </c>
      <c r="E207">
        <v>0</v>
      </c>
      <c r="F207" s="2">
        <v>2000</v>
      </c>
      <c r="G207">
        <f>E207*F207</f>
        <v>0</v>
      </c>
      <c r="H207" t="s">
        <v>30</v>
      </c>
      <c r="I207" t="s">
        <v>107</v>
      </c>
    </row>
    <row r="208" spans="1:9" x14ac:dyDescent="0.35">
      <c r="A208" t="str">
        <f>"ORD"&amp;TEXT(ROW()-2,"0000")</f>
        <v>ORD0206</v>
      </c>
      <c r="B208" s="12">
        <v>46228</v>
      </c>
      <c r="C208" t="s">
        <v>34</v>
      </c>
      <c r="D208" t="s">
        <v>29</v>
      </c>
      <c r="E208">
        <v>15</v>
      </c>
      <c r="F208" s="2">
        <v>5500</v>
      </c>
      <c r="G208">
        <f>E208*F208</f>
        <v>82500</v>
      </c>
      <c r="H208" t="s">
        <v>72</v>
      </c>
      <c r="I208" t="s">
        <v>31</v>
      </c>
    </row>
    <row r="209" spans="1:9" x14ac:dyDescent="0.35">
      <c r="A209" t="str">
        <f>"ORD"&amp;TEXT(ROW()-2,"0000")</f>
        <v>ORD0207</v>
      </c>
      <c r="B209" s="12">
        <v>46229</v>
      </c>
      <c r="C209" t="s">
        <v>28</v>
      </c>
      <c r="D209" t="s">
        <v>29</v>
      </c>
      <c r="E209">
        <v>12</v>
      </c>
      <c r="F209" s="2">
        <v>1500</v>
      </c>
      <c r="G209">
        <f>E209*F209</f>
        <v>18000</v>
      </c>
      <c r="H209" t="s">
        <v>13</v>
      </c>
      <c r="I209" t="s">
        <v>31</v>
      </c>
    </row>
    <row r="210" spans="1:9" x14ac:dyDescent="0.35">
      <c r="A210" t="str">
        <f>"ORD"&amp;TEXT(ROW()-2,"0000")</f>
        <v>ORD0208</v>
      </c>
      <c r="B210" s="12">
        <v>46230</v>
      </c>
      <c r="C210" t="s">
        <v>34</v>
      </c>
      <c r="D210" t="s">
        <v>29</v>
      </c>
      <c r="E210">
        <v>3</v>
      </c>
      <c r="F210" s="2">
        <v>5500</v>
      </c>
      <c r="G210">
        <f>E210*F210</f>
        <v>16500</v>
      </c>
      <c r="H210" t="s">
        <v>39</v>
      </c>
      <c r="I210" t="s">
        <v>73</v>
      </c>
    </row>
    <row r="211" spans="1:9" x14ac:dyDescent="0.35">
      <c r="A211" t="str">
        <f>"ORD"&amp;TEXT(ROW()-2,"0000")</f>
        <v>ORD0209</v>
      </c>
      <c r="B211" s="12">
        <v>46231</v>
      </c>
      <c r="C211" t="s">
        <v>11</v>
      </c>
      <c r="D211" t="s">
        <v>12</v>
      </c>
      <c r="E211">
        <v>4</v>
      </c>
      <c r="F211" s="2">
        <v>1800</v>
      </c>
      <c r="G211">
        <f>E211*F211</f>
        <v>7200</v>
      </c>
      <c r="H211" t="s">
        <v>103</v>
      </c>
      <c r="I211" t="s">
        <v>14</v>
      </c>
    </row>
    <row r="212" spans="1:9" x14ac:dyDescent="0.35">
      <c r="A212" t="str">
        <f>"ORD"&amp;TEXT(ROW()-2,"0000")</f>
        <v>ORD0210</v>
      </c>
      <c r="B212" s="12">
        <v>46232</v>
      </c>
      <c r="C212" t="s">
        <v>28</v>
      </c>
      <c r="D212" t="s">
        <v>29</v>
      </c>
      <c r="E212">
        <v>14</v>
      </c>
      <c r="F212" s="2">
        <v>1500</v>
      </c>
      <c r="G212">
        <f>E212*F212</f>
        <v>21000</v>
      </c>
      <c r="H212" t="s">
        <v>43</v>
      </c>
      <c r="I212" t="s">
        <v>107</v>
      </c>
    </row>
    <row r="213" spans="1:9" x14ac:dyDescent="0.35">
      <c r="A213" t="str">
        <f>"ORD"&amp;TEXT(ROW()-2,"0000")</f>
        <v>ORD0211</v>
      </c>
      <c r="B213" s="12">
        <v>46233</v>
      </c>
      <c r="C213" t="s">
        <v>50</v>
      </c>
      <c r="D213" t="s">
        <v>12</v>
      </c>
      <c r="E213">
        <v>7</v>
      </c>
      <c r="F213" s="2">
        <v>2500</v>
      </c>
      <c r="G213">
        <f>E213*F213</f>
        <v>17500</v>
      </c>
      <c r="H213" t="s">
        <v>53</v>
      </c>
      <c r="I213" t="s">
        <v>40</v>
      </c>
    </row>
    <row r="214" spans="1:9" x14ac:dyDescent="0.35">
      <c r="A214" t="str">
        <f>"ORD"&amp;TEXT(ROW()-2,"0000")</f>
        <v>ORD0212</v>
      </c>
      <c r="B214" s="12">
        <v>46234</v>
      </c>
      <c r="C214" t="s">
        <v>28</v>
      </c>
      <c r="D214" t="s">
        <v>29</v>
      </c>
      <c r="E214">
        <v>8</v>
      </c>
      <c r="F214" s="2">
        <v>1500</v>
      </c>
      <c r="G214">
        <f>E214*F214</f>
        <v>12000</v>
      </c>
      <c r="H214" t="s">
        <v>79</v>
      </c>
      <c r="I214" t="s">
        <v>73</v>
      </c>
    </row>
    <row r="215" spans="1:9" x14ac:dyDescent="0.35">
      <c r="A215" t="str">
        <f>"ORD"&amp;TEXT(ROW()-2,"0000")</f>
        <v>ORD0213</v>
      </c>
      <c r="B215" s="12">
        <v>46235</v>
      </c>
      <c r="C215" t="s">
        <v>17</v>
      </c>
      <c r="D215" t="s">
        <v>12</v>
      </c>
      <c r="E215">
        <v>1</v>
      </c>
      <c r="F215" s="2">
        <v>3000</v>
      </c>
      <c r="G215">
        <f>E215*F215</f>
        <v>3000</v>
      </c>
      <c r="H215" t="s">
        <v>18</v>
      </c>
      <c r="I215" t="s">
        <v>63</v>
      </c>
    </row>
    <row r="216" spans="1:9" x14ac:dyDescent="0.35">
      <c r="A216" t="str">
        <f>"ORD"&amp;TEXT(ROW()-2,"0000")</f>
        <v>ORD0214</v>
      </c>
      <c r="B216" s="12">
        <v>46236</v>
      </c>
      <c r="C216" t="s">
        <v>50</v>
      </c>
      <c r="D216" t="s">
        <v>12</v>
      </c>
      <c r="E216">
        <v>6</v>
      </c>
      <c r="F216" s="2">
        <v>2500</v>
      </c>
      <c r="G216">
        <f>E216*F216</f>
        <v>15000</v>
      </c>
      <c r="H216" t="s">
        <v>79</v>
      </c>
      <c r="I216" t="s">
        <v>40</v>
      </c>
    </row>
    <row r="217" spans="1:9" x14ac:dyDescent="0.35">
      <c r="A217" t="str">
        <f>"ORD"&amp;TEXT(ROW()-2,"0000")</f>
        <v>ORD0215</v>
      </c>
      <c r="B217" s="12">
        <v>46237</v>
      </c>
      <c r="C217" t="s">
        <v>50</v>
      </c>
      <c r="D217" t="s">
        <v>12</v>
      </c>
      <c r="E217">
        <v>7</v>
      </c>
      <c r="F217" s="2">
        <v>2500</v>
      </c>
      <c r="G217">
        <f>E217*F217</f>
        <v>17500</v>
      </c>
      <c r="H217" t="s">
        <v>43</v>
      </c>
      <c r="I217" t="s">
        <v>66</v>
      </c>
    </row>
    <row r="218" spans="1:9" x14ac:dyDescent="0.35">
      <c r="A218" t="str">
        <f>"ORD"&amp;TEXT(ROW()-2,"0000")</f>
        <v>ORD0216</v>
      </c>
      <c r="B218" s="12">
        <v>46238</v>
      </c>
      <c r="C218" t="s">
        <v>60</v>
      </c>
      <c r="D218" t="s">
        <v>38</v>
      </c>
      <c r="E218">
        <v>8</v>
      </c>
      <c r="F218" s="2">
        <v>2000</v>
      </c>
      <c r="G218">
        <f>E218*F218</f>
        <v>16000</v>
      </c>
      <c r="H218" t="s">
        <v>103</v>
      </c>
      <c r="I218" t="s">
        <v>936</v>
      </c>
    </row>
    <row r="219" spans="1:9" x14ac:dyDescent="0.35">
      <c r="A219" t="str">
        <f>"ORD"&amp;TEXT(ROW()-2,"0000")</f>
        <v>ORD0217</v>
      </c>
      <c r="B219" s="12">
        <v>46239</v>
      </c>
      <c r="C219" t="s">
        <v>89</v>
      </c>
      <c r="D219" t="s">
        <v>90</v>
      </c>
      <c r="E219">
        <v>5</v>
      </c>
      <c r="F219" s="2">
        <v>1200</v>
      </c>
      <c r="G219">
        <f>E219*F219</f>
        <v>6000</v>
      </c>
      <c r="H219" t="s">
        <v>24</v>
      </c>
      <c r="I219" t="s">
        <v>40</v>
      </c>
    </row>
    <row r="220" spans="1:9" x14ac:dyDescent="0.35">
      <c r="A220" t="str">
        <f>"ORD"&amp;TEXT(ROW()-2,"0000")</f>
        <v>ORD0218</v>
      </c>
      <c r="B220" s="12">
        <v>46240</v>
      </c>
      <c r="C220" t="s">
        <v>50</v>
      </c>
      <c r="D220" t="s">
        <v>12</v>
      </c>
      <c r="E220">
        <v>11</v>
      </c>
      <c r="F220" s="2">
        <v>2500</v>
      </c>
      <c r="G220">
        <f>E220*F220</f>
        <v>27500</v>
      </c>
      <c r="H220" t="s">
        <v>13</v>
      </c>
      <c r="I220" t="s">
        <v>73</v>
      </c>
    </row>
    <row r="221" spans="1:9" x14ac:dyDescent="0.35">
      <c r="A221" t="str">
        <f>"ORD"&amp;TEXT(ROW()-2,"0000")</f>
        <v>ORD0219</v>
      </c>
      <c r="B221" s="12">
        <v>46241</v>
      </c>
      <c r="C221" t="s">
        <v>34</v>
      </c>
      <c r="D221" t="s">
        <v>29</v>
      </c>
      <c r="E221">
        <v>10</v>
      </c>
      <c r="F221" s="2">
        <v>5500</v>
      </c>
      <c r="G221">
        <f>E221*F221</f>
        <v>55000</v>
      </c>
      <c r="H221" t="s">
        <v>123</v>
      </c>
      <c r="I221" t="s">
        <v>40</v>
      </c>
    </row>
    <row r="222" spans="1:9" x14ac:dyDescent="0.35">
      <c r="A222" t="str">
        <f>"ORD"&amp;TEXT(ROW()-2,"0000")</f>
        <v>ORD0220</v>
      </c>
      <c r="B222" s="12">
        <v>46242</v>
      </c>
      <c r="C222" t="s">
        <v>11</v>
      </c>
      <c r="D222" t="s">
        <v>12</v>
      </c>
      <c r="E222">
        <v>5</v>
      </c>
      <c r="F222" s="2">
        <v>1800</v>
      </c>
      <c r="G222">
        <f>E222*F222</f>
        <v>9000</v>
      </c>
      <c r="H222" t="s">
        <v>30</v>
      </c>
      <c r="I222" t="s">
        <v>40</v>
      </c>
    </row>
    <row r="223" spans="1:9" x14ac:dyDescent="0.35">
      <c r="A223" t="str">
        <f>"ORD"&amp;TEXT(ROW()-2,"0000")</f>
        <v>ORD0221</v>
      </c>
      <c r="B223" s="12">
        <v>46243</v>
      </c>
      <c r="C223" t="s">
        <v>34</v>
      </c>
      <c r="D223" t="s">
        <v>29</v>
      </c>
      <c r="E223">
        <v>1</v>
      </c>
      <c r="F223" s="2">
        <v>5500</v>
      </c>
      <c r="G223">
        <f>E223*F223</f>
        <v>5500</v>
      </c>
      <c r="H223" t="s">
        <v>24</v>
      </c>
      <c r="I223" t="s">
        <v>76</v>
      </c>
    </row>
    <row r="224" spans="1:9" x14ac:dyDescent="0.35">
      <c r="A224" t="str">
        <f>"ORD"&amp;TEXT(ROW()-2,"0000")</f>
        <v>ORD0222</v>
      </c>
      <c r="B224" s="12">
        <v>46244</v>
      </c>
      <c r="C224" t="s">
        <v>11</v>
      </c>
      <c r="D224" t="s">
        <v>12</v>
      </c>
      <c r="E224">
        <v>2</v>
      </c>
      <c r="F224" s="2">
        <v>1800</v>
      </c>
      <c r="G224">
        <f>E224*F224</f>
        <v>3600</v>
      </c>
      <c r="H224" t="s">
        <v>13</v>
      </c>
      <c r="I224" t="s">
        <v>31</v>
      </c>
    </row>
    <row r="225" spans="1:9" x14ac:dyDescent="0.35">
      <c r="A225" t="str">
        <f>"ORD"&amp;TEXT(ROW()-2,"0000")</f>
        <v>ORD0223</v>
      </c>
      <c r="B225" s="12">
        <v>46245</v>
      </c>
      <c r="C225" t="s">
        <v>50</v>
      </c>
      <c r="D225" t="s">
        <v>12</v>
      </c>
      <c r="E225">
        <v>8</v>
      </c>
      <c r="F225" s="2">
        <v>2500</v>
      </c>
      <c r="G225">
        <f>E225*F225</f>
        <v>20000</v>
      </c>
      <c r="H225" t="s">
        <v>123</v>
      </c>
      <c r="I225" t="s">
        <v>40</v>
      </c>
    </row>
    <row r="226" spans="1:9" x14ac:dyDescent="0.35">
      <c r="A226" t="str">
        <f>"ORD"&amp;TEXT(ROW()-2,"0000")</f>
        <v>ORD0224</v>
      </c>
      <c r="B226" s="12">
        <v>46246</v>
      </c>
      <c r="C226" t="s">
        <v>50</v>
      </c>
      <c r="D226" t="s">
        <v>12</v>
      </c>
      <c r="E226">
        <v>2</v>
      </c>
      <c r="F226" s="2">
        <v>2500</v>
      </c>
      <c r="G226">
        <f>E226*F226</f>
        <v>5000</v>
      </c>
      <c r="H226" t="s">
        <v>30</v>
      </c>
      <c r="I226" t="s">
        <v>73</v>
      </c>
    </row>
    <row r="227" spans="1:9" x14ac:dyDescent="0.35">
      <c r="A227" t="str">
        <f>"ORD"&amp;TEXT(ROW()-2,"0000")</f>
        <v>ORD0225</v>
      </c>
      <c r="B227" s="12">
        <v>46247</v>
      </c>
      <c r="C227" t="s">
        <v>89</v>
      </c>
      <c r="D227" t="s">
        <v>90</v>
      </c>
      <c r="E227">
        <v>0</v>
      </c>
      <c r="F227" s="2">
        <v>1200</v>
      </c>
      <c r="G227">
        <f>E227*F227</f>
        <v>0</v>
      </c>
      <c r="H227" t="s">
        <v>18</v>
      </c>
      <c r="I227" t="s">
        <v>31</v>
      </c>
    </row>
    <row r="228" spans="1:9" x14ac:dyDescent="0.35">
      <c r="A228" t="str">
        <f>"ORD"&amp;TEXT(ROW()-2,"0000")</f>
        <v>ORD0226</v>
      </c>
      <c r="B228" s="12">
        <v>46248</v>
      </c>
      <c r="C228" t="s">
        <v>60</v>
      </c>
      <c r="D228" t="s">
        <v>38</v>
      </c>
      <c r="E228">
        <v>9</v>
      </c>
      <c r="F228" s="2">
        <v>2000</v>
      </c>
      <c r="G228">
        <f>E228*F228</f>
        <v>18000</v>
      </c>
      <c r="H228" t="s">
        <v>39</v>
      </c>
      <c r="I228" t="s">
        <v>63</v>
      </c>
    </row>
    <row r="229" spans="1:9" x14ac:dyDescent="0.35">
      <c r="A229" t="str">
        <f>"ORD"&amp;TEXT(ROW()-2,"0000")</f>
        <v>ORD0227</v>
      </c>
      <c r="B229" s="12">
        <v>46249</v>
      </c>
      <c r="C229" t="s">
        <v>89</v>
      </c>
      <c r="D229" t="s">
        <v>90</v>
      </c>
      <c r="E229">
        <v>15</v>
      </c>
      <c r="F229" s="2">
        <v>1200</v>
      </c>
      <c r="G229">
        <f>E229*F229</f>
        <v>18000</v>
      </c>
      <c r="H229" t="s">
        <v>13</v>
      </c>
      <c r="I229" t="s">
        <v>73</v>
      </c>
    </row>
    <row r="230" spans="1:9" x14ac:dyDescent="0.35">
      <c r="A230" t="str">
        <f>"ORD"&amp;TEXT(ROW()-2,"0000")</f>
        <v>ORD0228</v>
      </c>
      <c r="B230" s="12">
        <v>46250</v>
      </c>
      <c r="C230" t="s">
        <v>17</v>
      </c>
      <c r="D230" t="s">
        <v>12</v>
      </c>
      <c r="E230">
        <v>5</v>
      </c>
      <c r="F230" s="2">
        <v>3000</v>
      </c>
      <c r="G230">
        <f>E230*F230</f>
        <v>15000</v>
      </c>
      <c r="H230" t="s">
        <v>18</v>
      </c>
      <c r="I230" t="s">
        <v>107</v>
      </c>
    </row>
    <row r="231" spans="1:9" x14ac:dyDescent="0.35">
      <c r="A231" t="str">
        <f>"ORD"&amp;TEXT(ROW()-2,"0000")</f>
        <v>ORD0229</v>
      </c>
      <c r="B231" s="12">
        <v>46251</v>
      </c>
      <c r="C231" t="s">
        <v>17</v>
      </c>
      <c r="D231" t="s">
        <v>12</v>
      </c>
      <c r="E231">
        <v>9</v>
      </c>
      <c r="F231" s="2">
        <v>3000</v>
      </c>
      <c r="G231">
        <f>E231*F231</f>
        <v>27000</v>
      </c>
      <c r="H231" t="s">
        <v>123</v>
      </c>
      <c r="I231" t="s">
        <v>107</v>
      </c>
    </row>
    <row r="232" spans="1:9" x14ac:dyDescent="0.35">
      <c r="A232" t="str">
        <f>"ORD"&amp;TEXT(ROW()-2,"0000")</f>
        <v>ORD0230</v>
      </c>
      <c r="B232" s="12">
        <v>46252</v>
      </c>
      <c r="C232" t="s">
        <v>89</v>
      </c>
      <c r="D232" t="s">
        <v>90</v>
      </c>
      <c r="E232">
        <v>4</v>
      </c>
      <c r="F232" s="2">
        <v>1200</v>
      </c>
      <c r="G232">
        <f>E232*F232</f>
        <v>4800</v>
      </c>
      <c r="H232" t="s">
        <v>39</v>
      </c>
      <c r="I232" t="s">
        <v>63</v>
      </c>
    </row>
    <row r="233" spans="1:9" x14ac:dyDescent="0.35">
      <c r="A233" t="str">
        <f>"ORD"&amp;TEXT(ROW()-2,"0000")</f>
        <v>ORD0231</v>
      </c>
      <c r="B233" s="12">
        <v>46253</v>
      </c>
      <c r="C233" t="s">
        <v>11</v>
      </c>
      <c r="D233" t="s">
        <v>12</v>
      </c>
      <c r="E233">
        <v>2</v>
      </c>
      <c r="F233" s="2" t="s">
        <v>46</v>
      </c>
      <c r="G233">
        <f>E233*F233</f>
        <v>3600</v>
      </c>
      <c r="H233" t="s">
        <v>123</v>
      </c>
      <c r="I233" t="s">
        <v>25</v>
      </c>
    </row>
    <row r="234" spans="1:9" x14ac:dyDescent="0.35">
      <c r="A234" t="str">
        <f>"ORD"&amp;TEXT(ROW()-2,"0000")</f>
        <v>ORD0232</v>
      </c>
      <c r="B234" s="12">
        <v>46254</v>
      </c>
      <c r="C234" t="s">
        <v>89</v>
      </c>
      <c r="D234" t="s">
        <v>90</v>
      </c>
      <c r="E234">
        <v>2</v>
      </c>
      <c r="F234" s="2">
        <v>1200</v>
      </c>
      <c r="G234">
        <f>E234*F234</f>
        <v>2400</v>
      </c>
      <c r="H234" t="s">
        <v>79</v>
      </c>
      <c r="I234" t="s">
        <v>25</v>
      </c>
    </row>
    <row r="235" spans="1:9" x14ac:dyDescent="0.35">
      <c r="A235" t="str">
        <f>"ORD"&amp;TEXT(ROW()-2,"0000")</f>
        <v>ORD0233</v>
      </c>
      <c r="B235" s="12">
        <v>46255</v>
      </c>
      <c r="C235" t="s">
        <v>60</v>
      </c>
      <c r="D235" t="s">
        <v>38</v>
      </c>
      <c r="E235">
        <v>11</v>
      </c>
      <c r="F235" s="2">
        <v>2000</v>
      </c>
      <c r="G235">
        <f>E235*F235</f>
        <v>22000</v>
      </c>
      <c r="H235" t="s">
        <v>79</v>
      </c>
      <c r="I235" t="s">
        <v>40</v>
      </c>
    </row>
    <row r="236" spans="1:9" x14ac:dyDescent="0.35">
      <c r="A236" t="str">
        <f>"ORD"&amp;TEXT(ROW()-2,"0000")</f>
        <v>ORD0234</v>
      </c>
      <c r="B236" s="12">
        <v>46256</v>
      </c>
      <c r="C236" t="s">
        <v>28</v>
      </c>
      <c r="D236" t="s">
        <v>29</v>
      </c>
      <c r="E236">
        <v>1</v>
      </c>
      <c r="F236" s="2">
        <v>1500</v>
      </c>
      <c r="G236">
        <f>E236*F236</f>
        <v>1500</v>
      </c>
      <c r="H236" t="s">
        <v>13</v>
      </c>
      <c r="I236" t="s">
        <v>54</v>
      </c>
    </row>
    <row r="237" spans="1:9" x14ac:dyDescent="0.35">
      <c r="A237" t="str">
        <f>"ORD"&amp;TEXT(ROW()-2,"0000")</f>
        <v>ORD0235</v>
      </c>
      <c r="B237" s="12">
        <v>46257</v>
      </c>
      <c r="C237" t="s">
        <v>60</v>
      </c>
      <c r="D237" t="s">
        <v>38</v>
      </c>
      <c r="E237">
        <v>5</v>
      </c>
      <c r="F237" s="2">
        <v>2000</v>
      </c>
      <c r="G237">
        <f>E237*F237</f>
        <v>10000</v>
      </c>
      <c r="H237" t="s">
        <v>39</v>
      </c>
      <c r="I237" t="s">
        <v>936</v>
      </c>
    </row>
    <row r="238" spans="1:9" x14ac:dyDescent="0.35">
      <c r="A238" t="str">
        <f>"ORD"&amp;TEXT(ROW()-2,"0000")</f>
        <v>ORD0236</v>
      </c>
      <c r="B238" s="12">
        <v>46258</v>
      </c>
      <c r="C238" t="s">
        <v>89</v>
      </c>
      <c r="D238" t="s">
        <v>90</v>
      </c>
      <c r="E238">
        <v>6</v>
      </c>
      <c r="F238" s="2">
        <v>1200</v>
      </c>
      <c r="G238">
        <f>E238*F238</f>
        <v>7200</v>
      </c>
      <c r="H238" t="s">
        <v>39</v>
      </c>
      <c r="I238" t="s">
        <v>25</v>
      </c>
    </row>
    <row r="239" spans="1:9" x14ac:dyDescent="0.35">
      <c r="A239" t="str">
        <f>"ORD"&amp;TEXT(ROW()-2,"0000")</f>
        <v>ORD0237</v>
      </c>
      <c r="B239" s="12">
        <v>46259</v>
      </c>
      <c r="C239" t="s">
        <v>60</v>
      </c>
      <c r="D239" t="s">
        <v>38</v>
      </c>
      <c r="E239">
        <v>6</v>
      </c>
      <c r="F239" s="2" t="s">
        <v>164</v>
      </c>
      <c r="G239">
        <f>E239*F239</f>
        <v>12000</v>
      </c>
      <c r="H239" t="s">
        <v>30</v>
      </c>
      <c r="I239" t="s">
        <v>107</v>
      </c>
    </row>
    <row r="240" spans="1:9" x14ac:dyDescent="0.35">
      <c r="A240" t="str">
        <f>"ORD"&amp;TEXT(ROW()-2,"0000")</f>
        <v>ORD0238</v>
      </c>
      <c r="B240" s="12">
        <v>46260</v>
      </c>
      <c r="C240" t="s">
        <v>11</v>
      </c>
      <c r="D240" t="s">
        <v>12</v>
      </c>
      <c r="E240">
        <v>14</v>
      </c>
      <c r="F240" s="2">
        <v>1800</v>
      </c>
      <c r="G240">
        <f>E240*F240</f>
        <v>25200</v>
      </c>
      <c r="H240" t="s">
        <v>43</v>
      </c>
      <c r="I240" t="s">
        <v>25</v>
      </c>
    </row>
    <row r="241" spans="1:9" x14ac:dyDescent="0.35">
      <c r="A241" t="str">
        <f>"ORD"&amp;TEXT(ROW()-2,"0000")</f>
        <v>ORD0239</v>
      </c>
      <c r="B241" s="12">
        <v>46261</v>
      </c>
      <c r="C241" t="s">
        <v>28</v>
      </c>
      <c r="D241" t="s">
        <v>29</v>
      </c>
      <c r="E241">
        <v>9</v>
      </c>
      <c r="F241" s="2">
        <v>1500</v>
      </c>
      <c r="G241">
        <f>E241*F241</f>
        <v>13500</v>
      </c>
      <c r="H241" t="s">
        <v>43</v>
      </c>
      <c r="I241" t="s">
        <v>73</v>
      </c>
    </row>
    <row r="242" spans="1:9" x14ac:dyDescent="0.35">
      <c r="A242" t="str">
        <f>"ORD"&amp;TEXT(ROW()-2,"0000")</f>
        <v>ORD0240</v>
      </c>
      <c r="B242" s="12">
        <v>46262</v>
      </c>
      <c r="C242" t="s">
        <v>34</v>
      </c>
      <c r="D242" t="s">
        <v>29</v>
      </c>
      <c r="E242">
        <v>2</v>
      </c>
      <c r="F242" s="2">
        <v>5500</v>
      </c>
      <c r="G242">
        <f>E242*F242</f>
        <v>11000</v>
      </c>
      <c r="H242" t="s">
        <v>39</v>
      </c>
      <c r="I242" t="s">
        <v>40</v>
      </c>
    </row>
    <row r="243" spans="1:9" x14ac:dyDescent="0.35">
      <c r="A243" t="str">
        <f>"ORD"&amp;TEXT(ROW()-2,"0000")</f>
        <v>ORD0241</v>
      </c>
      <c r="B243" s="12">
        <v>46263</v>
      </c>
      <c r="C243" t="s">
        <v>17</v>
      </c>
      <c r="D243" t="s">
        <v>12</v>
      </c>
      <c r="E243">
        <v>13</v>
      </c>
      <c r="F243" s="2">
        <v>3000</v>
      </c>
      <c r="G243">
        <f>E243*F243</f>
        <v>39000</v>
      </c>
      <c r="H243" t="s">
        <v>18</v>
      </c>
      <c r="I243" t="s">
        <v>107</v>
      </c>
    </row>
    <row r="244" spans="1:9" x14ac:dyDescent="0.35">
      <c r="A244" t="str">
        <f>"ORD"&amp;TEXT(ROW()-2,"0000")</f>
        <v>ORD0242</v>
      </c>
      <c r="B244" s="12">
        <v>46264</v>
      </c>
      <c r="C244" t="s">
        <v>60</v>
      </c>
      <c r="D244" t="s">
        <v>38</v>
      </c>
      <c r="E244">
        <v>11</v>
      </c>
      <c r="F244" s="2" t="s">
        <v>164</v>
      </c>
      <c r="G244">
        <f>E244*F244</f>
        <v>22000</v>
      </c>
      <c r="H244" t="s">
        <v>24</v>
      </c>
      <c r="I244" t="s">
        <v>73</v>
      </c>
    </row>
    <row r="245" spans="1:9" x14ac:dyDescent="0.35">
      <c r="A245" t="str">
        <f>"ORD"&amp;TEXT(ROW()-2,"0000")</f>
        <v>ORD0243</v>
      </c>
      <c r="B245" s="12">
        <v>46265</v>
      </c>
      <c r="C245" t="s">
        <v>60</v>
      </c>
      <c r="D245" t="s">
        <v>38</v>
      </c>
      <c r="E245">
        <v>12</v>
      </c>
      <c r="F245" s="2">
        <v>2000</v>
      </c>
      <c r="G245">
        <f>E245*F245</f>
        <v>24000</v>
      </c>
      <c r="H245" t="s">
        <v>18</v>
      </c>
      <c r="I245" t="s">
        <v>54</v>
      </c>
    </row>
    <row r="246" spans="1:9" x14ac:dyDescent="0.35">
      <c r="A246" t="str">
        <f>"ORD"&amp;TEXT(ROW()-2,"0000")</f>
        <v>ORD0244</v>
      </c>
      <c r="B246" s="12">
        <v>46266</v>
      </c>
      <c r="C246" t="s">
        <v>11</v>
      </c>
      <c r="D246" t="s">
        <v>12</v>
      </c>
      <c r="E246">
        <v>4</v>
      </c>
      <c r="F246" s="2">
        <v>1800</v>
      </c>
      <c r="G246">
        <f>E246*F246</f>
        <v>7200</v>
      </c>
      <c r="H246" t="s">
        <v>123</v>
      </c>
      <c r="I246" t="s">
        <v>73</v>
      </c>
    </row>
    <row r="247" spans="1:9" x14ac:dyDescent="0.35">
      <c r="A247" t="str">
        <f>"ORD"&amp;TEXT(ROW()-2,"0000")</f>
        <v>ORD0245</v>
      </c>
      <c r="B247" s="12">
        <v>46267</v>
      </c>
      <c r="C247" t="s">
        <v>17</v>
      </c>
      <c r="D247" t="s">
        <v>12</v>
      </c>
      <c r="E247">
        <v>6</v>
      </c>
      <c r="F247" s="2" t="s">
        <v>57</v>
      </c>
      <c r="G247">
        <f>E247*F247</f>
        <v>18000</v>
      </c>
      <c r="H247" t="s">
        <v>103</v>
      </c>
      <c r="I247" t="s">
        <v>63</v>
      </c>
    </row>
    <row r="248" spans="1:9" x14ac:dyDescent="0.35">
      <c r="A248" t="str">
        <f>"ORD"&amp;TEXT(ROW()-2,"0000")</f>
        <v>ORD0246</v>
      </c>
      <c r="B248" s="12">
        <v>46268</v>
      </c>
      <c r="C248" t="s">
        <v>11</v>
      </c>
      <c r="D248" t="s">
        <v>12</v>
      </c>
      <c r="E248">
        <v>1</v>
      </c>
      <c r="F248" s="2" t="s">
        <v>46</v>
      </c>
      <c r="G248">
        <f>E248*F248</f>
        <v>1800</v>
      </c>
      <c r="H248" t="s">
        <v>72</v>
      </c>
      <c r="I248" t="s">
        <v>107</v>
      </c>
    </row>
    <row r="249" spans="1:9" x14ac:dyDescent="0.35">
      <c r="A249" t="str">
        <f>"ORD"&amp;TEXT(ROW()-2,"0000")</f>
        <v>ORD0247</v>
      </c>
      <c r="B249" s="12">
        <v>46269</v>
      </c>
      <c r="C249" t="s">
        <v>89</v>
      </c>
      <c r="D249" t="s">
        <v>90</v>
      </c>
      <c r="E249">
        <v>6</v>
      </c>
      <c r="F249" s="2">
        <v>1200</v>
      </c>
      <c r="G249">
        <f>E249*F249</f>
        <v>7200</v>
      </c>
      <c r="H249" t="s">
        <v>43</v>
      </c>
      <c r="I249" t="s">
        <v>107</v>
      </c>
    </row>
    <row r="250" spans="1:9" x14ac:dyDescent="0.35">
      <c r="A250" t="str">
        <f>"ORD"&amp;TEXT(ROW()-2,"0000")</f>
        <v>ORD0248</v>
      </c>
      <c r="B250" s="12">
        <v>46270</v>
      </c>
      <c r="C250" t="s">
        <v>89</v>
      </c>
      <c r="D250" t="s">
        <v>90</v>
      </c>
      <c r="E250">
        <v>15</v>
      </c>
      <c r="F250" s="2">
        <v>1200</v>
      </c>
      <c r="G250">
        <f>E250*F250</f>
        <v>18000</v>
      </c>
      <c r="H250" t="s">
        <v>18</v>
      </c>
      <c r="I250" t="s">
        <v>107</v>
      </c>
    </row>
    <row r="251" spans="1:9" x14ac:dyDescent="0.35">
      <c r="A251" t="str">
        <f>"ORD"&amp;TEXT(ROW()-2,"0000")</f>
        <v>ORD0249</v>
      </c>
      <c r="B251" s="12">
        <v>46271</v>
      </c>
      <c r="C251" t="s">
        <v>28</v>
      </c>
      <c r="D251" t="s">
        <v>29</v>
      </c>
      <c r="E251">
        <v>3</v>
      </c>
      <c r="F251" s="2">
        <v>1500</v>
      </c>
      <c r="G251">
        <f>E251*F251</f>
        <v>4500</v>
      </c>
      <c r="H251" t="s">
        <v>47</v>
      </c>
      <c r="I251" t="s">
        <v>54</v>
      </c>
    </row>
    <row r="252" spans="1:9" x14ac:dyDescent="0.35">
      <c r="A252" t="str">
        <f>"ORD"&amp;TEXT(ROW()-2,"0000")</f>
        <v>ORD0250</v>
      </c>
      <c r="B252" s="12">
        <v>46272</v>
      </c>
      <c r="C252" t="s">
        <v>28</v>
      </c>
      <c r="D252" t="s">
        <v>29</v>
      </c>
      <c r="E252">
        <v>13</v>
      </c>
      <c r="F252" s="2">
        <v>1500</v>
      </c>
      <c r="G252">
        <f>E252*F252</f>
        <v>19500</v>
      </c>
      <c r="H252" t="s">
        <v>103</v>
      </c>
      <c r="I252" t="s">
        <v>31</v>
      </c>
    </row>
    <row r="253" spans="1:9" x14ac:dyDescent="0.35">
      <c r="A253" t="str">
        <f>"ORD"&amp;TEXT(ROW()-2,"0000")</f>
        <v>ORD0251</v>
      </c>
      <c r="B253" s="12">
        <v>46273</v>
      </c>
      <c r="C253" t="s">
        <v>50</v>
      </c>
      <c r="D253" t="s">
        <v>12</v>
      </c>
      <c r="E253">
        <v>5</v>
      </c>
      <c r="F253" s="2">
        <v>2500</v>
      </c>
      <c r="G253">
        <f>E253*F253</f>
        <v>12500</v>
      </c>
      <c r="H253" t="s">
        <v>30</v>
      </c>
      <c r="I253" t="s">
        <v>66</v>
      </c>
    </row>
    <row r="254" spans="1:9" x14ac:dyDescent="0.35">
      <c r="A254" t="str">
        <f>"ORD"&amp;TEXT(ROW()-2,"0000")</f>
        <v>ORD0252</v>
      </c>
      <c r="B254" s="12">
        <v>46274</v>
      </c>
      <c r="C254" t="s">
        <v>50</v>
      </c>
      <c r="D254" t="s">
        <v>12</v>
      </c>
      <c r="E254">
        <v>7</v>
      </c>
      <c r="F254" s="2">
        <v>2500</v>
      </c>
      <c r="G254">
        <f>E254*F254</f>
        <v>17500</v>
      </c>
      <c r="H254" t="s">
        <v>39</v>
      </c>
      <c r="I254" t="s">
        <v>31</v>
      </c>
    </row>
    <row r="255" spans="1:9" x14ac:dyDescent="0.35">
      <c r="A255" t="str">
        <f>"ORD"&amp;TEXT(ROW()-2,"0000")</f>
        <v>ORD0253</v>
      </c>
      <c r="B255" s="12">
        <v>46275</v>
      </c>
      <c r="C255" t="s">
        <v>60</v>
      </c>
      <c r="D255" t="s">
        <v>38</v>
      </c>
      <c r="E255">
        <v>14</v>
      </c>
      <c r="F255" s="2">
        <v>2000</v>
      </c>
      <c r="G255">
        <f>E255*F255</f>
        <v>28000</v>
      </c>
      <c r="H255" t="s">
        <v>13</v>
      </c>
      <c r="I255" t="s">
        <v>76</v>
      </c>
    </row>
    <row r="256" spans="1:9" x14ac:dyDescent="0.35">
      <c r="A256" t="str">
        <f>"ORD"&amp;TEXT(ROW()-2,"0000")</f>
        <v>ORD0254</v>
      </c>
      <c r="B256" s="12">
        <v>46276</v>
      </c>
      <c r="C256" t="s">
        <v>89</v>
      </c>
      <c r="D256" t="s">
        <v>90</v>
      </c>
      <c r="E256">
        <v>15</v>
      </c>
      <c r="F256" s="2">
        <v>1200</v>
      </c>
      <c r="G256">
        <f>E256*F256</f>
        <v>18000</v>
      </c>
      <c r="H256" t="s">
        <v>39</v>
      </c>
      <c r="I256" t="s">
        <v>66</v>
      </c>
    </row>
    <row r="257" spans="1:9" x14ac:dyDescent="0.35">
      <c r="A257" t="str">
        <f>"ORD"&amp;TEXT(ROW()-2,"0000")</f>
        <v>ORD0255</v>
      </c>
      <c r="B257" s="12">
        <v>46277</v>
      </c>
      <c r="C257" t="s">
        <v>11</v>
      </c>
      <c r="D257" t="s">
        <v>12</v>
      </c>
      <c r="E257">
        <v>9</v>
      </c>
      <c r="F257" s="2" t="s">
        <v>46</v>
      </c>
      <c r="G257">
        <f>E257*F257</f>
        <v>16200</v>
      </c>
      <c r="H257" t="s">
        <v>43</v>
      </c>
      <c r="I257" t="s">
        <v>66</v>
      </c>
    </row>
    <row r="258" spans="1:9" x14ac:dyDescent="0.35">
      <c r="A258" t="str">
        <f>"ORD"&amp;TEXT(ROW()-2,"0000")</f>
        <v>ORD0256</v>
      </c>
      <c r="B258" s="12">
        <v>46278</v>
      </c>
      <c r="C258" t="s">
        <v>21</v>
      </c>
      <c r="D258" t="s">
        <v>22</v>
      </c>
      <c r="E258">
        <v>11</v>
      </c>
      <c r="F258" s="2">
        <v>1000</v>
      </c>
      <c r="G258">
        <f>E258*F258</f>
        <v>11000</v>
      </c>
      <c r="H258" t="s">
        <v>39</v>
      </c>
      <c r="I258" t="s">
        <v>73</v>
      </c>
    </row>
    <row r="259" spans="1:9" x14ac:dyDescent="0.35">
      <c r="A259" t="str">
        <f>"ORD"&amp;TEXT(ROW()-2,"0000")</f>
        <v>ORD0257</v>
      </c>
      <c r="B259" s="12">
        <v>46279</v>
      </c>
      <c r="C259" t="s">
        <v>21</v>
      </c>
      <c r="D259" t="s">
        <v>22</v>
      </c>
      <c r="E259">
        <v>0</v>
      </c>
      <c r="F259" s="2">
        <v>1000</v>
      </c>
      <c r="G259">
        <f>E259*F259</f>
        <v>0</v>
      </c>
      <c r="H259" t="s">
        <v>13</v>
      </c>
      <c r="I259" t="s">
        <v>107</v>
      </c>
    </row>
    <row r="260" spans="1:9" x14ac:dyDescent="0.35">
      <c r="A260" t="str">
        <f>"ORD"&amp;TEXT(ROW()-2,"0000")</f>
        <v>ORD0258</v>
      </c>
      <c r="B260" s="12">
        <v>46280</v>
      </c>
      <c r="C260" t="s">
        <v>50</v>
      </c>
      <c r="D260" t="s">
        <v>12</v>
      </c>
      <c r="E260">
        <v>10</v>
      </c>
      <c r="F260" s="2" t="s">
        <v>298</v>
      </c>
      <c r="G260">
        <f>E260*F260</f>
        <v>25000</v>
      </c>
      <c r="H260" t="s">
        <v>13</v>
      </c>
      <c r="I260" t="s">
        <v>66</v>
      </c>
    </row>
    <row r="261" spans="1:9" x14ac:dyDescent="0.35">
      <c r="A261" t="str">
        <f>"ORD"&amp;TEXT(ROW()-2,"0000")</f>
        <v>ORD0259</v>
      </c>
      <c r="B261" s="12">
        <v>46281</v>
      </c>
      <c r="C261" t="s">
        <v>21</v>
      </c>
      <c r="D261" t="s">
        <v>22</v>
      </c>
      <c r="E261">
        <v>13</v>
      </c>
      <c r="F261" s="2">
        <v>1000</v>
      </c>
      <c r="G261">
        <f>E261*F261</f>
        <v>13000</v>
      </c>
      <c r="H261" t="s">
        <v>30</v>
      </c>
      <c r="I261" t="s">
        <v>66</v>
      </c>
    </row>
    <row r="262" spans="1:9" x14ac:dyDescent="0.35">
      <c r="A262" t="str">
        <f>"ORD"&amp;TEXT(ROW()-2,"0000")</f>
        <v>ORD0260</v>
      </c>
      <c r="B262" s="12">
        <v>46282</v>
      </c>
      <c r="C262" t="s">
        <v>28</v>
      </c>
      <c r="D262" t="s">
        <v>29</v>
      </c>
      <c r="E262">
        <v>3</v>
      </c>
      <c r="F262" s="2" t="s">
        <v>203</v>
      </c>
      <c r="G262">
        <f>E262*F262</f>
        <v>4500</v>
      </c>
      <c r="H262" t="s">
        <v>39</v>
      </c>
      <c r="I262" t="s">
        <v>63</v>
      </c>
    </row>
    <row r="263" spans="1:9" x14ac:dyDescent="0.35">
      <c r="A263" t="str">
        <f>"ORD"&amp;TEXT(ROW()-2,"0000")</f>
        <v>ORD0261</v>
      </c>
      <c r="B263" s="12">
        <v>46283</v>
      </c>
      <c r="C263" t="s">
        <v>50</v>
      </c>
      <c r="D263" t="s">
        <v>12</v>
      </c>
      <c r="E263">
        <v>12</v>
      </c>
      <c r="F263" s="2">
        <v>2500</v>
      </c>
      <c r="G263">
        <f>E263*F263</f>
        <v>30000</v>
      </c>
      <c r="H263" t="s">
        <v>43</v>
      </c>
      <c r="I263" t="s">
        <v>14</v>
      </c>
    </row>
    <row r="264" spans="1:9" x14ac:dyDescent="0.35">
      <c r="A264" t="str">
        <f>"ORD"&amp;TEXT(ROW()-2,"0000")</f>
        <v>ORD0262</v>
      </c>
      <c r="B264" s="12">
        <v>46284</v>
      </c>
      <c r="C264" t="s">
        <v>11</v>
      </c>
      <c r="D264" t="s">
        <v>12</v>
      </c>
      <c r="E264">
        <v>12</v>
      </c>
      <c r="F264" s="2" t="s">
        <v>46</v>
      </c>
      <c r="G264">
        <f>E264*F264</f>
        <v>21600</v>
      </c>
      <c r="H264" t="s">
        <v>43</v>
      </c>
      <c r="I264" t="s">
        <v>25</v>
      </c>
    </row>
    <row r="265" spans="1:9" x14ac:dyDescent="0.35">
      <c r="A265" t="str">
        <f>"ORD"&amp;TEXT(ROW()-2,"0000")</f>
        <v>ORD0263</v>
      </c>
      <c r="B265" s="12">
        <v>46285</v>
      </c>
      <c r="C265" t="s">
        <v>11</v>
      </c>
      <c r="D265" t="s">
        <v>12</v>
      </c>
      <c r="E265">
        <v>9</v>
      </c>
      <c r="F265" s="2">
        <v>1800</v>
      </c>
      <c r="G265">
        <f>E265*F265</f>
        <v>16200</v>
      </c>
      <c r="H265" t="s">
        <v>39</v>
      </c>
      <c r="I265" t="s">
        <v>107</v>
      </c>
    </row>
    <row r="266" spans="1:9" x14ac:dyDescent="0.35">
      <c r="A266" t="str">
        <f>"ORD"&amp;TEXT(ROW()-2,"0000")</f>
        <v>ORD0264</v>
      </c>
      <c r="B266" s="12">
        <v>46286</v>
      </c>
      <c r="C266" t="s">
        <v>28</v>
      </c>
      <c r="D266" t="s">
        <v>29</v>
      </c>
      <c r="E266">
        <v>15</v>
      </c>
      <c r="F266" s="2">
        <v>1500</v>
      </c>
      <c r="G266">
        <f>E266*F266</f>
        <v>22500</v>
      </c>
      <c r="H266" t="s">
        <v>43</v>
      </c>
      <c r="I266" t="s">
        <v>54</v>
      </c>
    </row>
    <row r="267" spans="1:9" x14ac:dyDescent="0.35">
      <c r="A267" t="str">
        <f>"ORD"&amp;TEXT(ROW()-2,"0000")</f>
        <v>ORD0265</v>
      </c>
      <c r="B267" s="12">
        <v>46287</v>
      </c>
      <c r="C267" t="s">
        <v>34</v>
      </c>
      <c r="D267" t="s">
        <v>29</v>
      </c>
      <c r="E267">
        <v>9</v>
      </c>
      <c r="F267" s="2">
        <v>5500</v>
      </c>
      <c r="G267">
        <f>E267*F267</f>
        <v>49500</v>
      </c>
      <c r="H267" t="s">
        <v>123</v>
      </c>
      <c r="I267" t="s">
        <v>73</v>
      </c>
    </row>
    <row r="268" spans="1:9" x14ac:dyDescent="0.35">
      <c r="A268" t="str">
        <f>"ORD"&amp;TEXT(ROW()-2,"0000")</f>
        <v>ORD0266</v>
      </c>
      <c r="B268" s="12">
        <v>46288</v>
      </c>
      <c r="C268" t="s">
        <v>89</v>
      </c>
      <c r="D268" t="s">
        <v>90</v>
      </c>
      <c r="E268">
        <v>15</v>
      </c>
      <c r="F268" s="2">
        <v>1200</v>
      </c>
      <c r="G268">
        <f>E268*F268</f>
        <v>18000</v>
      </c>
      <c r="H268" t="s">
        <v>18</v>
      </c>
      <c r="I268" t="s">
        <v>107</v>
      </c>
    </row>
    <row r="269" spans="1:9" x14ac:dyDescent="0.35">
      <c r="A269" t="str">
        <f>"ORD"&amp;TEXT(ROW()-2,"0000")</f>
        <v>ORD0267</v>
      </c>
      <c r="B269" s="12">
        <v>46289</v>
      </c>
      <c r="C269" t="s">
        <v>34</v>
      </c>
      <c r="D269" t="s">
        <v>29</v>
      </c>
      <c r="E269">
        <v>1</v>
      </c>
      <c r="F269" s="2">
        <v>5500</v>
      </c>
      <c r="G269">
        <f>E269*F269</f>
        <v>5500</v>
      </c>
      <c r="H269" t="s">
        <v>72</v>
      </c>
      <c r="I269" t="s">
        <v>31</v>
      </c>
    </row>
    <row r="270" spans="1:9" x14ac:dyDescent="0.35">
      <c r="A270" t="str">
        <f>"ORD"&amp;TEXT(ROW()-2,"0000")</f>
        <v>ORD0268</v>
      </c>
      <c r="B270" s="12">
        <v>46290</v>
      </c>
      <c r="C270" t="s">
        <v>50</v>
      </c>
      <c r="D270" t="s">
        <v>12</v>
      </c>
      <c r="E270">
        <v>13</v>
      </c>
      <c r="F270" s="2">
        <v>2500</v>
      </c>
      <c r="G270">
        <f>E270*F270</f>
        <v>32500</v>
      </c>
      <c r="H270" t="s">
        <v>43</v>
      </c>
      <c r="I270" t="s">
        <v>25</v>
      </c>
    </row>
    <row r="271" spans="1:9" x14ac:dyDescent="0.35">
      <c r="A271" t="str">
        <f>"ORD"&amp;TEXT(ROW()-2,"0000")</f>
        <v>ORD0269</v>
      </c>
      <c r="B271" s="12">
        <v>46291</v>
      </c>
      <c r="C271" t="s">
        <v>17</v>
      </c>
      <c r="D271" t="s">
        <v>12</v>
      </c>
      <c r="E271">
        <v>8</v>
      </c>
      <c r="F271" s="2">
        <v>3000</v>
      </c>
      <c r="G271">
        <f>E271*F271</f>
        <v>24000</v>
      </c>
      <c r="H271" t="s">
        <v>39</v>
      </c>
      <c r="I271" t="s">
        <v>73</v>
      </c>
    </row>
    <row r="272" spans="1:9" x14ac:dyDescent="0.35">
      <c r="A272" t="str">
        <f>"ORD"&amp;TEXT(ROW()-2,"0000")</f>
        <v>ORD0270</v>
      </c>
      <c r="B272" s="12">
        <v>46292</v>
      </c>
      <c r="C272" t="s">
        <v>17</v>
      </c>
      <c r="D272" t="s">
        <v>12</v>
      </c>
      <c r="E272">
        <v>15</v>
      </c>
      <c r="F272" s="2">
        <v>3000</v>
      </c>
      <c r="G272">
        <f>E272*F272</f>
        <v>45000</v>
      </c>
      <c r="H272" t="s">
        <v>30</v>
      </c>
      <c r="I272" t="s">
        <v>14</v>
      </c>
    </row>
    <row r="273" spans="1:9" x14ac:dyDescent="0.35">
      <c r="A273" t="str">
        <f>"ORD"&amp;TEXT(ROW()-2,"0000")</f>
        <v>ORD0271</v>
      </c>
      <c r="B273" s="12">
        <v>46293</v>
      </c>
      <c r="C273" t="s">
        <v>21</v>
      </c>
      <c r="D273" t="s">
        <v>22</v>
      </c>
      <c r="E273">
        <v>14</v>
      </c>
      <c r="F273" s="2">
        <v>1000</v>
      </c>
      <c r="G273">
        <f>E273*F273</f>
        <v>14000</v>
      </c>
      <c r="H273" t="s">
        <v>72</v>
      </c>
      <c r="I273" t="s">
        <v>40</v>
      </c>
    </row>
    <row r="274" spans="1:9" x14ac:dyDescent="0.35">
      <c r="A274" t="str">
        <f>"ORD"&amp;TEXT(ROW()-2,"0000")</f>
        <v>ORD0272</v>
      </c>
      <c r="B274" s="12">
        <v>46294</v>
      </c>
      <c r="C274" t="s">
        <v>11</v>
      </c>
      <c r="D274" t="s">
        <v>12</v>
      </c>
      <c r="E274">
        <v>2</v>
      </c>
      <c r="F274" s="2">
        <v>1800</v>
      </c>
      <c r="G274">
        <f>E274*F274</f>
        <v>3600</v>
      </c>
      <c r="H274" t="s">
        <v>103</v>
      </c>
      <c r="I274" t="s">
        <v>40</v>
      </c>
    </row>
    <row r="275" spans="1:9" x14ac:dyDescent="0.35">
      <c r="A275" t="str">
        <f>"ORD"&amp;TEXT(ROW()-2,"0000")</f>
        <v>ORD0273</v>
      </c>
      <c r="B275" s="12">
        <v>46295</v>
      </c>
      <c r="C275" t="s">
        <v>28</v>
      </c>
      <c r="D275" t="s">
        <v>29</v>
      </c>
      <c r="E275">
        <v>8</v>
      </c>
      <c r="F275" s="2">
        <v>1500</v>
      </c>
      <c r="G275">
        <f>E275*F275</f>
        <v>12000</v>
      </c>
      <c r="H275" t="s">
        <v>53</v>
      </c>
      <c r="I275" t="s">
        <v>14</v>
      </c>
    </row>
    <row r="276" spans="1:9" x14ac:dyDescent="0.35">
      <c r="A276" t="str">
        <f>"ORD"&amp;TEXT(ROW()-2,"0000")</f>
        <v>ORD0274</v>
      </c>
      <c r="B276" s="12">
        <v>46296</v>
      </c>
      <c r="C276" t="s">
        <v>60</v>
      </c>
      <c r="D276" t="s">
        <v>38</v>
      </c>
      <c r="E276">
        <v>8</v>
      </c>
      <c r="F276" s="2">
        <v>2000</v>
      </c>
      <c r="G276">
        <f>E276*F276</f>
        <v>16000</v>
      </c>
      <c r="H276" t="s">
        <v>43</v>
      </c>
      <c r="I276" t="s">
        <v>66</v>
      </c>
    </row>
    <row r="277" spans="1:9" x14ac:dyDescent="0.35">
      <c r="A277" t="str">
        <f>"ORD"&amp;TEXT(ROW()-2,"0000")</f>
        <v>ORD0275</v>
      </c>
      <c r="B277" s="12">
        <v>46297</v>
      </c>
      <c r="C277" t="s">
        <v>60</v>
      </c>
      <c r="D277" t="s">
        <v>38</v>
      </c>
      <c r="E277">
        <v>7</v>
      </c>
      <c r="F277" s="2">
        <v>2000</v>
      </c>
      <c r="G277">
        <f>E277*F277</f>
        <v>14000</v>
      </c>
      <c r="H277" t="s">
        <v>18</v>
      </c>
      <c r="I277" t="s">
        <v>107</v>
      </c>
    </row>
    <row r="278" spans="1:9" x14ac:dyDescent="0.35">
      <c r="A278" t="str">
        <f>"ORD"&amp;TEXT(ROW()-2,"0000")</f>
        <v>ORD0276</v>
      </c>
      <c r="B278" s="12">
        <v>46298</v>
      </c>
      <c r="C278" t="s">
        <v>50</v>
      </c>
      <c r="D278" t="s">
        <v>12</v>
      </c>
      <c r="E278">
        <v>15</v>
      </c>
      <c r="F278" s="2">
        <v>2500</v>
      </c>
      <c r="G278">
        <f>E278*F278</f>
        <v>37500</v>
      </c>
      <c r="H278" t="s">
        <v>79</v>
      </c>
      <c r="I278" t="s">
        <v>63</v>
      </c>
    </row>
    <row r="279" spans="1:9" x14ac:dyDescent="0.35">
      <c r="A279" t="str">
        <f>"ORD"&amp;TEXT(ROW()-2,"0000")</f>
        <v>ORD0277</v>
      </c>
      <c r="B279" s="12">
        <v>46299</v>
      </c>
      <c r="C279" t="s">
        <v>89</v>
      </c>
      <c r="D279" t="s">
        <v>90</v>
      </c>
      <c r="E279">
        <v>12</v>
      </c>
      <c r="F279" s="2">
        <v>1200</v>
      </c>
      <c r="G279">
        <f>E279*F279</f>
        <v>14400</v>
      </c>
      <c r="H279" t="s">
        <v>30</v>
      </c>
      <c r="I279" t="s">
        <v>25</v>
      </c>
    </row>
    <row r="280" spans="1:9" x14ac:dyDescent="0.35">
      <c r="A280" t="str">
        <f>"ORD"&amp;TEXT(ROW()-2,"0000")</f>
        <v>ORD0278</v>
      </c>
      <c r="B280" s="12">
        <v>46300</v>
      </c>
      <c r="C280" t="s">
        <v>21</v>
      </c>
      <c r="D280" t="s">
        <v>22</v>
      </c>
      <c r="E280">
        <v>12</v>
      </c>
      <c r="F280" s="2">
        <v>1000</v>
      </c>
      <c r="G280">
        <f>E280*F280</f>
        <v>12000</v>
      </c>
      <c r="H280" t="s">
        <v>47</v>
      </c>
      <c r="I280" t="s">
        <v>40</v>
      </c>
    </row>
    <row r="281" spans="1:9" x14ac:dyDescent="0.35">
      <c r="A281" t="str">
        <f>"ORD"&amp;TEXT(ROW()-2,"0000")</f>
        <v>ORD0279</v>
      </c>
      <c r="B281" s="12">
        <v>46301</v>
      </c>
      <c r="C281" t="s">
        <v>89</v>
      </c>
      <c r="D281" t="s">
        <v>90</v>
      </c>
      <c r="E281">
        <v>2</v>
      </c>
      <c r="F281" s="2">
        <v>1200</v>
      </c>
      <c r="G281">
        <f>E281*F281</f>
        <v>2400</v>
      </c>
      <c r="H281" t="s">
        <v>13</v>
      </c>
      <c r="I281" t="s">
        <v>31</v>
      </c>
    </row>
    <row r="282" spans="1:9" x14ac:dyDescent="0.35">
      <c r="A282" t="str">
        <f>"ORD"&amp;TEXT(ROW()-2,"0000")</f>
        <v>ORD0280</v>
      </c>
      <c r="B282" s="12">
        <v>46302</v>
      </c>
      <c r="C282" t="s">
        <v>34</v>
      </c>
      <c r="D282" t="s">
        <v>29</v>
      </c>
      <c r="E282">
        <v>4</v>
      </c>
      <c r="F282" s="2">
        <v>5500</v>
      </c>
      <c r="G282">
        <f>E282*F282</f>
        <v>22000</v>
      </c>
      <c r="H282" t="s">
        <v>103</v>
      </c>
      <c r="I282" t="s">
        <v>31</v>
      </c>
    </row>
    <row r="283" spans="1:9" x14ac:dyDescent="0.35">
      <c r="A283" t="str">
        <f>"ORD"&amp;TEXT(ROW()-2,"0000")</f>
        <v>ORD0281</v>
      </c>
      <c r="B283" s="12">
        <v>46303</v>
      </c>
      <c r="C283" t="s">
        <v>17</v>
      </c>
      <c r="D283" t="s">
        <v>12</v>
      </c>
      <c r="E283">
        <v>2</v>
      </c>
      <c r="F283" s="2">
        <v>3000</v>
      </c>
      <c r="G283">
        <f>E283*F283</f>
        <v>6000</v>
      </c>
      <c r="H283" t="s">
        <v>53</v>
      </c>
      <c r="I283" t="s">
        <v>107</v>
      </c>
    </row>
    <row r="284" spans="1:9" x14ac:dyDescent="0.35">
      <c r="A284" t="str">
        <f>"ORD"&amp;TEXT(ROW()-2,"0000")</f>
        <v>ORD0282</v>
      </c>
      <c r="B284" s="12">
        <v>46304</v>
      </c>
      <c r="C284" t="s">
        <v>21</v>
      </c>
      <c r="D284" t="s">
        <v>22</v>
      </c>
      <c r="E284">
        <v>15</v>
      </c>
      <c r="F284" s="2">
        <v>1000</v>
      </c>
      <c r="G284">
        <f>E284*F284</f>
        <v>15000</v>
      </c>
      <c r="H284" t="s">
        <v>103</v>
      </c>
      <c r="I284" t="s">
        <v>31</v>
      </c>
    </row>
    <row r="285" spans="1:9" x14ac:dyDescent="0.35">
      <c r="A285" t="str">
        <f>"ORD"&amp;TEXT(ROW()-2,"0000")</f>
        <v>ORD0283</v>
      </c>
      <c r="B285" s="12">
        <v>46305</v>
      </c>
      <c r="C285" t="s">
        <v>28</v>
      </c>
      <c r="D285" t="s">
        <v>29</v>
      </c>
      <c r="E285">
        <v>2</v>
      </c>
      <c r="F285" s="2">
        <v>1500</v>
      </c>
      <c r="G285">
        <f>E285*F285</f>
        <v>3000</v>
      </c>
      <c r="H285" t="s">
        <v>79</v>
      </c>
      <c r="I285" t="s">
        <v>25</v>
      </c>
    </row>
    <row r="286" spans="1:9" x14ac:dyDescent="0.35">
      <c r="A286" t="str">
        <f>"ORD"&amp;TEXT(ROW()-2,"0000")</f>
        <v>ORD0284</v>
      </c>
      <c r="B286" s="12">
        <v>46306</v>
      </c>
      <c r="C286" t="s">
        <v>28</v>
      </c>
      <c r="D286" t="s">
        <v>29</v>
      </c>
      <c r="E286">
        <v>1</v>
      </c>
      <c r="F286" s="2">
        <v>1500</v>
      </c>
      <c r="G286">
        <f>E286*F286</f>
        <v>1500</v>
      </c>
      <c r="H286" t="s">
        <v>43</v>
      </c>
      <c r="I286" t="s">
        <v>76</v>
      </c>
    </row>
    <row r="287" spans="1:9" x14ac:dyDescent="0.35">
      <c r="A287" t="str">
        <f>"ORD"&amp;TEXT(ROW()-2,"0000")</f>
        <v>ORD0285</v>
      </c>
      <c r="B287" s="12">
        <v>46307</v>
      </c>
      <c r="C287" t="s">
        <v>11</v>
      </c>
      <c r="D287" t="s">
        <v>12</v>
      </c>
      <c r="E287">
        <v>7</v>
      </c>
      <c r="F287" s="2">
        <v>1800</v>
      </c>
      <c r="G287">
        <f>E287*F287</f>
        <v>12600</v>
      </c>
      <c r="H287" t="s">
        <v>18</v>
      </c>
      <c r="I287" t="s">
        <v>63</v>
      </c>
    </row>
    <row r="288" spans="1:9" x14ac:dyDescent="0.35">
      <c r="A288" t="str">
        <f>"ORD"&amp;TEXT(ROW()-2,"0000")</f>
        <v>ORD0286</v>
      </c>
      <c r="B288" s="12">
        <v>46308</v>
      </c>
      <c r="C288" t="s">
        <v>89</v>
      </c>
      <c r="D288" t="s">
        <v>90</v>
      </c>
      <c r="E288">
        <v>8</v>
      </c>
      <c r="F288" s="2">
        <v>1200</v>
      </c>
      <c r="G288">
        <f>E288*F288</f>
        <v>9600</v>
      </c>
      <c r="H288" t="s">
        <v>30</v>
      </c>
      <c r="I288" t="s">
        <v>66</v>
      </c>
    </row>
    <row r="289" spans="1:9" x14ac:dyDescent="0.35">
      <c r="A289" t="str">
        <f>"ORD"&amp;TEXT(ROW()-2,"0000")</f>
        <v>ORD0287</v>
      </c>
      <c r="B289" s="12">
        <v>46309</v>
      </c>
      <c r="C289" t="s">
        <v>21</v>
      </c>
      <c r="D289" t="s">
        <v>22</v>
      </c>
      <c r="E289">
        <v>4</v>
      </c>
      <c r="F289" s="2">
        <v>1000</v>
      </c>
      <c r="G289">
        <f>E289*F289</f>
        <v>4000</v>
      </c>
      <c r="H289" t="s">
        <v>79</v>
      </c>
      <c r="I289" t="s">
        <v>31</v>
      </c>
    </row>
    <row r="290" spans="1:9" x14ac:dyDescent="0.35">
      <c r="A290" t="str">
        <f>"ORD"&amp;TEXT(ROW()-2,"0000")</f>
        <v>ORD0288</v>
      </c>
      <c r="B290" s="12">
        <v>46310</v>
      </c>
      <c r="C290" t="s">
        <v>50</v>
      </c>
      <c r="D290" t="s">
        <v>12</v>
      </c>
      <c r="E290">
        <v>9</v>
      </c>
      <c r="F290" s="2">
        <v>2500</v>
      </c>
      <c r="G290">
        <f>E290*F290</f>
        <v>22500</v>
      </c>
      <c r="H290" t="s">
        <v>18</v>
      </c>
      <c r="I290" t="s">
        <v>107</v>
      </c>
    </row>
    <row r="291" spans="1:9" x14ac:dyDescent="0.35">
      <c r="A291" t="str">
        <f>"ORD"&amp;TEXT(ROW()-2,"0000")</f>
        <v>ORD0289</v>
      </c>
      <c r="B291" s="12">
        <v>46311</v>
      </c>
      <c r="C291" t="s">
        <v>17</v>
      </c>
      <c r="D291" t="s">
        <v>12</v>
      </c>
      <c r="E291">
        <v>13</v>
      </c>
      <c r="F291" s="2">
        <v>3000</v>
      </c>
      <c r="G291">
        <f>E291*F291</f>
        <v>39000</v>
      </c>
      <c r="H291" t="s">
        <v>43</v>
      </c>
      <c r="I291" t="s">
        <v>63</v>
      </c>
    </row>
    <row r="292" spans="1:9" x14ac:dyDescent="0.35">
      <c r="A292" t="str">
        <f>"ORD"&amp;TEXT(ROW()-2,"0000")</f>
        <v>ORD0290</v>
      </c>
      <c r="B292" s="12">
        <v>46312</v>
      </c>
      <c r="C292" t="s">
        <v>21</v>
      </c>
      <c r="D292" t="s">
        <v>22</v>
      </c>
      <c r="E292">
        <v>10</v>
      </c>
      <c r="F292" s="2">
        <v>1000</v>
      </c>
      <c r="G292">
        <f>E292*F292</f>
        <v>10000</v>
      </c>
      <c r="H292" t="s">
        <v>13</v>
      </c>
      <c r="I292" t="s">
        <v>107</v>
      </c>
    </row>
    <row r="293" spans="1:9" x14ac:dyDescent="0.35">
      <c r="A293" t="str">
        <f>"ORD"&amp;TEXT(ROW()-2,"0000")</f>
        <v>ORD0291</v>
      </c>
      <c r="B293" s="12">
        <v>46313</v>
      </c>
      <c r="C293" t="s">
        <v>34</v>
      </c>
      <c r="D293" t="s">
        <v>29</v>
      </c>
      <c r="E293">
        <v>0</v>
      </c>
      <c r="F293" s="2">
        <v>5500</v>
      </c>
      <c r="G293">
        <f>E293*F293</f>
        <v>0</v>
      </c>
      <c r="H293" t="s">
        <v>30</v>
      </c>
      <c r="I293" t="s">
        <v>25</v>
      </c>
    </row>
    <row r="294" spans="1:9" x14ac:dyDescent="0.35">
      <c r="A294" t="str">
        <f>"ORD"&amp;TEXT(ROW()-2,"0000")</f>
        <v>ORD0292</v>
      </c>
      <c r="B294" s="12">
        <v>46314</v>
      </c>
      <c r="C294" t="s">
        <v>21</v>
      </c>
      <c r="D294" t="s">
        <v>22</v>
      </c>
      <c r="E294">
        <v>2</v>
      </c>
      <c r="F294" s="2" t="s">
        <v>23</v>
      </c>
      <c r="G294">
        <f>E294*F294</f>
        <v>2000</v>
      </c>
      <c r="H294" t="s">
        <v>103</v>
      </c>
      <c r="I294" t="s">
        <v>31</v>
      </c>
    </row>
    <row r="295" spans="1:9" x14ac:dyDescent="0.35">
      <c r="A295" t="str">
        <f>"ORD"&amp;TEXT(ROW()-2,"0000")</f>
        <v>ORD0293</v>
      </c>
      <c r="B295" s="12">
        <v>46315</v>
      </c>
      <c r="C295" t="s">
        <v>28</v>
      </c>
      <c r="D295" t="s">
        <v>29</v>
      </c>
      <c r="E295">
        <v>0</v>
      </c>
      <c r="F295" s="2">
        <v>1500</v>
      </c>
      <c r="G295">
        <f>E295*F295</f>
        <v>0</v>
      </c>
      <c r="H295" t="s">
        <v>39</v>
      </c>
      <c r="I295" t="s">
        <v>40</v>
      </c>
    </row>
    <row r="296" spans="1:9" x14ac:dyDescent="0.35">
      <c r="A296" t="str">
        <f>"ORD"&amp;TEXT(ROW()-2,"0000")</f>
        <v>ORD0294</v>
      </c>
      <c r="B296" s="12">
        <v>46316</v>
      </c>
      <c r="C296" t="s">
        <v>89</v>
      </c>
      <c r="D296" t="s">
        <v>90</v>
      </c>
      <c r="E296">
        <v>10</v>
      </c>
      <c r="F296" s="2">
        <v>1200</v>
      </c>
      <c r="G296">
        <f>E296*F296</f>
        <v>12000</v>
      </c>
      <c r="H296" t="s">
        <v>53</v>
      </c>
      <c r="I296" t="s">
        <v>63</v>
      </c>
    </row>
    <row r="297" spans="1:9" x14ac:dyDescent="0.35">
      <c r="A297" t="str">
        <f>"ORD"&amp;TEXT(ROW()-2,"0000")</f>
        <v>ORD0295</v>
      </c>
      <c r="B297" s="12">
        <v>46317</v>
      </c>
      <c r="C297" t="s">
        <v>21</v>
      </c>
      <c r="D297" t="s">
        <v>22</v>
      </c>
      <c r="E297">
        <v>3</v>
      </c>
      <c r="F297" s="2">
        <v>1000</v>
      </c>
      <c r="G297">
        <f>E297*F297</f>
        <v>3000</v>
      </c>
      <c r="H297" t="s">
        <v>47</v>
      </c>
      <c r="I297" t="s">
        <v>63</v>
      </c>
    </row>
    <row r="298" spans="1:9" x14ac:dyDescent="0.35">
      <c r="A298" t="str">
        <f>"ORD"&amp;TEXT(ROW()-2,"0000")</f>
        <v>ORD0296</v>
      </c>
      <c r="B298" s="12">
        <v>46318</v>
      </c>
      <c r="C298" t="s">
        <v>11</v>
      </c>
      <c r="D298" t="s">
        <v>12</v>
      </c>
      <c r="E298">
        <v>10</v>
      </c>
      <c r="F298" s="2">
        <v>1800</v>
      </c>
      <c r="G298">
        <f>E298*F298</f>
        <v>18000</v>
      </c>
      <c r="H298" t="s">
        <v>13</v>
      </c>
      <c r="I298" t="s">
        <v>54</v>
      </c>
    </row>
    <row r="299" spans="1:9" x14ac:dyDescent="0.35">
      <c r="A299" t="str">
        <f>"ORD"&amp;TEXT(ROW()-2,"0000")</f>
        <v>ORD0297</v>
      </c>
      <c r="B299" s="12">
        <v>46319</v>
      </c>
      <c r="C299" t="s">
        <v>60</v>
      </c>
      <c r="D299" t="s">
        <v>38</v>
      </c>
      <c r="E299">
        <v>6</v>
      </c>
      <c r="F299" s="2" t="s">
        <v>164</v>
      </c>
      <c r="G299">
        <f>E299*F299</f>
        <v>12000</v>
      </c>
      <c r="H299" t="s">
        <v>123</v>
      </c>
      <c r="I299" t="s">
        <v>25</v>
      </c>
    </row>
    <row r="300" spans="1:9" x14ac:dyDescent="0.35">
      <c r="A300" t="str">
        <f>"ORD"&amp;TEXT(ROW()-2,"0000")</f>
        <v>ORD0298</v>
      </c>
      <c r="B300" s="12">
        <v>46320</v>
      </c>
      <c r="C300" t="s">
        <v>17</v>
      </c>
      <c r="D300" t="s">
        <v>12</v>
      </c>
      <c r="E300">
        <v>7</v>
      </c>
      <c r="F300" s="2" t="s">
        <v>57</v>
      </c>
      <c r="G300">
        <f>E300*F300</f>
        <v>21000</v>
      </c>
      <c r="H300" t="s">
        <v>123</v>
      </c>
      <c r="I300" t="s">
        <v>76</v>
      </c>
    </row>
    <row r="301" spans="1:9" x14ac:dyDescent="0.35">
      <c r="A301" t="str">
        <f>"ORD"&amp;TEXT(ROW()-2,"0000")</f>
        <v>ORD0299</v>
      </c>
      <c r="B301" s="12">
        <v>46321</v>
      </c>
      <c r="C301" t="s">
        <v>11</v>
      </c>
      <c r="D301" t="s">
        <v>12</v>
      </c>
      <c r="E301">
        <v>12</v>
      </c>
      <c r="F301" s="2">
        <v>1800</v>
      </c>
      <c r="G301">
        <f>E301*F301</f>
        <v>21600</v>
      </c>
      <c r="H301" t="s">
        <v>18</v>
      </c>
      <c r="I301" t="s">
        <v>14</v>
      </c>
    </row>
    <row r="302" spans="1:9" x14ac:dyDescent="0.35">
      <c r="A302" t="str">
        <f>"ORD"&amp;TEXT(ROW()-2,"0000")</f>
        <v>ORD0300</v>
      </c>
      <c r="B302" s="12">
        <v>46322</v>
      </c>
      <c r="C302" t="s">
        <v>17</v>
      </c>
      <c r="D302" t="s">
        <v>12</v>
      </c>
      <c r="E302">
        <v>10</v>
      </c>
      <c r="F302" s="2">
        <v>3000</v>
      </c>
      <c r="G302">
        <f>E302*F302</f>
        <v>30000</v>
      </c>
      <c r="H302" t="s">
        <v>39</v>
      </c>
      <c r="I302" t="s">
        <v>54</v>
      </c>
    </row>
    <row r="303" spans="1:9" x14ac:dyDescent="0.35">
      <c r="A303" t="str">
        <f>"ORD"&amp;TEXT(ROW()-2,"0000")</f>
        <v>ORD0301</v>
      </c>
      <c r="B303" s="12">
        <v>46323</v>
      </c>
      <c r="C303" t="s">
        <v>60</v>
      </c>
      <c r="D303" t="s">
        <v>38</v>
      </c>
      <c r="E303">
        <v>15</v>
      </c>
      <c r="F303" s="2">
        <v>2000</v>
      </c>
      <c r="G303">
        <f>E303*F303</f>
        <v>30000</v>
      </c>
      <c r="H303" t="s">
        <v>47</v>
      </c>
      <c r="I303" t="s">
        <v>14</v>
      </c>
    </row>
    <row r="304" spans="1:9" x14ac:dyDescent="0.35">
      <c r="A304" t="str">
        <f>"ORD"&amp;TEXT(ROW()-2,"0000")</f>
        <v>ORD0302</v>
      </c>
      <c r="B304" s="12">
        <v>46324</v>
      </c>
      <c r="C304" t="s">
        <v>89</v>
      </c>
      <c r="D304" t="s">
        <v>90</v>
      </c>
      <c r="E304">
        <v>6</v>
      </c>
      <c r="F304" s="2">
        <v>1200</v>
      </c>
      <c r="G304">
        <f>E304*F304</f>
        <v>7200</v>
      </c>
      <c r="H304" t="s">
        <v>47</v>
      </c>
      <c r="I304" t="s">
        <v>107</v>
      </c>
    </row>
    <row r="305" spans="1:9" x14ac:dyDescent="0.35">
      <c r="A305" t="str">
        <f>"ORD"&amp;TEXT(ROW()-2,"0000")</f>
        <v>ORD0303</v>
      </c>
      <c r="B305" s="12">
        <v>46325</v>
      </c>
      <c r="C305" t="s">
        <v>17</v>
      </c>
      <c r="D305" t="s">
        <v>12</v>
      </c>
      <c r="E305">
        <v>11</v>
      </c>
      <c r="F305" s="2">
        <v>3000</v>
      </c>
      <c r="G305">
        <f>E305*F305</f>
        <v>33000</v>
      </c>
      <c r="H305" t="s">
        <v>123</v>
      </c>
      <c r="I305" t="s">
        <v>76</v>
      </c>
    </row>
    <row r="306" spans="1:9" x14ac:dyDescent="0.35">
      <c r="A306" t="str">
        <f>"ORD"&amp;TEXT(ROW()-2,"0000")</f>
        <v>ORD0304</v>
      </c>
      <c r="B306" s="12">
        <v>46326</v>
      </c>
      <c r="C306" t="s">
        <v>34</v>
      </c>
      <c r="D306" t="s">
        <v>29</v>
      </c>
      <c r="E306">
        <v>4</v>
      </c>
      <c r="F306" s="2">
        <v>5500</v>
      </c>
      <c r="G306">
        <f>E306*F306</f>
        <v>22000</v>
      </c>
      <c r="H306" t="s">
        <v>47</v>
      </c>
      <c r="I306" t="s">
        <v>107</v>
      </c>
    </row>
    <row r="307" spans="1:9" x14ac:dyDescent="0.35">
      <c r="A307" t="str">
        <f>"ORD"&amp;TEXT(ROW()-2,"0000")</f>
        <v>ORD0305</v>
      </c>
      <c r="B307" s="12">
        <v>46327</v>
      </c>
      <c r="C307" t="s">
        <v>34</v>
      </c>
      <c r="D307" t="s">
        <v>29</v>
      </c>
      <c r="E307">
        <v>3</v>
      </c>
      <c r="F307" s="2">
        <v>5500</v>
      </c>
      <c r="G307">
        <f>E307*F307</f>
        <v>16500</v>
      </c>
      <c r="H307" t="s">
        <v>24</v>
      </c>
      <c r="I307" t="s">
        <v>63</v>
      </c>
    </row>
    <row r="308" spans="1:9" x14ac:dyDescent="0.35">
      <c r="A308" t="str">
        <f>"ORD"&amp;TEXT(ROW()-2,"0000")</f>
        <v>ORD0306</v>
      </c>
      <c r="B308" s="12">
        <v>46328</v>
      </c>
      <c r="C308" t="s">
        <v>21</v>
      </c>
      <c r="D308" t="s">
        <v>22</v>
      </c>
      <c r="E308">
        <v>5</v>
      </c>
      <c r="F308" s="2">
        <v>1000</v>
      </c>
      <c r="G308">
        <f>E308*F308</f>
        <v>5000</v>
      </c>
      <c r="H308" t="s">
        <v>72</v>
      </c>
      <c r="I308" t="s">
        <v>66</v>
      </c>
    </row>
    <row r="309" spans="1:9" x14ac:dyDescent="0.35">
      <c r="A309" t="str">
        <f>"ORD"&amp;TEXT(ROW()-2,"0000")</f>
        <v>ORD0307</v>
      </c>
      <c r="B309" s="12">
        <v>46329</v>
      </c>
      <c r="C309" t="s">
        <v>60</v>
      </c>
      <c r="D309" t="s">
        <v>38</v>
      </c>
      <c r="E309">
        <v>5</v>
      </c>
      <c r="F309" s="2">
        <v>2000</v>
      </c>
      <c r="G309">
        <f>E309*F309</f>
        <v>10000</v>
      </c>
      <c r="H309" t="s">
        <v>43</v>
      </c>
      <c r="I309" t="s">
        <v>73</v>
      </c>
    </row>
    <row r="310" spans="1:9" x14ac:dyDescent="0.35">
      <c r="A310" t="str">
        <f>"ORD"&amp;TEXT(ROW()-2,"0000")</f>
        <v>ORD0308</v>
      </c>
      <c r="B310" s="12">
        <v>46330</v>
      </c>
      <c r="C310" t="s">
        <v>34</v>
      </c>
      <c r="D310" t="s">
        <v>29</v>
      </c>
      <c r="E310">
        <v>9</v>
      </c>
      <c r="F310" s="2">
        <v>5500</v>
      </c>
      <c r="G310">
        <f>E310*F310</f>
        <v>49500</v>
      </c>
      <c r="H310" t="s">
        <v>79</v>
      </c>
      <c r="I310" t="s">
        <v>25</v>
      </c>
    </row>
    <row r="311" spans="1:9" x14ac:dyDescent="0.35">
      <c r="A311" t="str">
        <f>"ORD"&amp;TEXT(ROW()-2,"0000")</f>
        <v>ORD0309</v>
      </c>
      <c r="B311" s="12">
        <v>46331</v>
      </c>
      <c r="C311" t="s">
        <v>11</v>
      </c>
      <c r="D311" t="s">
        <v>12</v>
      </c>
      <c r="E311">
        <v>14</v>
      </c>
      <c r="F311" s="2">
        <v>1800</v>
      </c>
      <c r="G311">
        <f>E311*F311</f>
        <v>25200</v>
      </c>
      <c r="H311" t="s">
        <v>53</v>
      </c>
      <c r="I311" t="s">
        <v>936</v>
      </c>
    </row>
    <row r="312" spans="1:9" x14ac:dyDescent="0.35">
      <c r="A312" t="str">
        <f>"ORD"&amp;TEXT(ROW()-2,"0000")</f>
        <v>ORD0310</v>
      </c>
      <c r="B312" s="12">
        <v>46332</v>
      </c>
      <c r="C312" t="s">
        <v>11</v>
      </c>
      <c r="D312" t="s">
        <v>12</v>
      </c>
      <c r="E312">
        <v>1</v>
      </c>
      <c r="F312" s="2">
        <v>1800</v>
      </c>
      <c r="G312">
        <f>E312*F312</f>
        <v>1800</v>
      </c>
      <c r="H312" t="s">
        <v>47</v>
      </c>
      <c r="I312" t="s">
        <v>73</v>
      </c>
    </row>
    <row r="313" spans="1:9" x14ac:dyDescent="0.35">
      <c r="A313" t="str">
        <f>"ORD"&amp;TEXT(ROW()-2,"0000")</f>
        <v>ORD0311</v>
      </c>
      <c r="B313" s="12">
        <v>46333</v>
      </c>
      <c r="C313" t="s">
        <v>21</v>
      </c>
      <c r="D313" t="s">
        <v>22</v>
      </c>
      <c r="E313">
        <v>8</v>
      </c>
      <c r="F313" s="2">
        <v>1000</v>
      </c>
      <c r="G313">
        <f>E313*F313</f>
        <v>8000</v>
      </c>
      <c r="H313" t="s">
        <v>72</v>
      </c>
      <c r="I313" t="s">
        <v>73</v>
      </c>
    </row>
    <row r="314" spans="1:9" x14ac:dyDescent="0.35">
      <c r="A314" t="str">
        <f>"ORD"&amp;TEXT(ROW()-2,"0000")</f>
        <v>ORD0312</v>
      </c>
      <c r="B314" s="12">
        <v>46334</v>
      </c>
      <c r="C314" t="s">
        <v>28</v>
      </c>
      <c r="D314" t="s">
        <v>29</v>
      </c>
      <c r="E314">
        <v>0</v>
      </c>
      <c r="F314" s="2">
        <v>1500</v>
      </c>
      <c r="G314">
        <f>E314*F314</f>
        <v>0</v>
      </c>
      <c r="H314" t="s">
        <v>123</v>
      </c>
      <c r="I314" t="s">
        <v>31</v>
      </c>
    </row>
    <row r="315" spans="1:9" x14ac:dyDescent="0.35">
      <c r="A315" t="str">
        <f>"ORD"&amp;TEXT(ROW()-2,"0000")</f>
        <v>ORD0313</v>
      </c>
      <c r="B315" s="12">
        <v>46335</v>
      </c>
      <c r="C315" t="s">
        <v>34</v>
      </c>
      <c r="D315" t="s">
        <v>29</v>
      </c>
      <c r="E315">
        <v>13</v>
      </c>
      <c r="F315" s="2">
        <v>5500</v>
      </c>
      <c r="G315">
        <f>E315*F315</f>
        <v>71500</v>
      </c>
      <c r="H315" t="s">
        <v>43</v>
      </c>
      <c r="I315" t="s">
        <v>25</v>
      </c>
    </row>
    <row r="316" spans="1:9" x14ac:dyDescent="0.35">
      <c r="A316" t="str">
        <f>"ORD"&amp;TEXT(ROW()-2,"0000")</f>
        <v>ORD0314</v>
      </c>
      <c r="B316" s="12">
        <v>46336</v>
      </c>
      <c r="C316" t="s">
        <v>89</v>
      </c>
      <c r="D316" t="s">
        <v>90</v>
      </c>
      <c r="E316">
        <v>14</v>
      </c>
      <c r="F316" s="2">
        <v>1200</v>
      </c>
      <c r="G316">
        <f>E316*F316</f>
        <v>16800</v>
      </c>
      <c r="H316" t="s">
        <v>123</v>
      </c>
      <c r="I316" t="s">
        <v>14</v>
      </c>
    </row>
    <row r="317" spans="1:9" x14ac:dyDescent="0.35">
      <c r="A317" t="str">
        <f>"ORD"&amp;TEXT(ROW()-2,"0000")</f>
        <v>ORD0315</v>
      </c>
      <c r="B317" s="12">
        <v>46337</v>
      </c>
      <c r="C317" t="s">
        <v>89</v>
      </c>
      <c r="D317" t="s">
        <v>90</v>
      </c>
      <c r="E317">
        <v>11</v>
      </c>
      <c r="F317" s="2">
        <v>1200</v>
      </c>
      <c r="G317">
        <f>E317*F317</f>
        <v>13200</v>
      </c>
      <c r="H317" t="s">
        <v>47</v>
      </c>
      <c r="I317" t="s">
        <v>40</v>
      </c>
    </row>
    <row r="318" spans="1:9" x14ac:dyDescent="0.35">
      <c r="A318" t="str">
        <f>"ORD"&amp;TEXT(ROW()-2,"0000")</f>
        <v>ORD0316</v>
      </c>
      <c r="B318" s="12">
        <v>46338</v>
      </c>
      <c r="C318" t="s">
        <v>11</v>
      </c>
      <c r="D318" t="s">
        <v>12</v>
      </c>
      <c r="E318">
        <v>7</v>
      </c>
      <c r="F318" s="2">
        <v>1800</v>
      </c>
      <c r="G318">
        <f>E318*F318</f>
        <v>12600</v>
      </c>
      <c r="H318" t="s">
        <v>53</v>
      </c>
      <c r="I318" t="s">
        <v>40</v>
      </c>
    </row>
    <row r="319" spans="1:9" x14ac:dyDescent="0.35">
      <c r="A319" t="str">
        <f>"ORD"&amp;TEXT(ROW()-2,"0000")</f>
        <v>ORD0317</v>
      </c>
      <c r="B319" s="12">
        <v>46339</v>
      </c>
      <c r="C319" t="s">
        <v>11</v>
      </c>
      <c r="D319" t="s">
        <v>12</v>
      </c>
      <c r="E319">
        <v>1</v>
      </c>
      <c r="F319" s="2">
        <v>1800</v>
      </c>
      <c r="G319">
        <f>E319*F319</f>
        <v>1800</v>
      </c>
      <c r="H319" t="s">
        <v>53</v>
      </c>
      <c r="I319" t="s">
        <v>107</v>
      </c>
    </row>
    <row r="320" spans="1:9" x14ac:dyDescent="0.35">
      <c r="A320" t="str">
        <f>"ORD"&amp;TEXT(ROW()-2,"0000")</f>
        <v>ORD0318</v>
      </c>
      <c r="B320" s="12">
        <v>46340</v>
      </c>
      <c r="C320" t="s">
        <v>50</v>
      </c>
      <c r="D320" t="s">
        <v>12</v>
      </c>
      <c r="E320">
        <v>1</v>
      </c>
      <c r="F320" s="2">
        <v>2500</v>
      </c>
      <c r="G320">
        <f>E320*F320</f>
        <v>2500</v>
      </c>
      <c r="H320" t="s">
        <v>47</v>
      </c>
      <c r="I320" t="s">
        <v>107</v>
      </c>
    </row>
    <row r="321" spans="1:9" x14ac:dyDescent="0.35">
      <c r="A321" t="str">
        <f>"ORD"&amp;TEXT(ROW()-2,"0000")</f>
        <v>ORD0319</v>
      </c>
      <c r="B321" s="12">
        <v>46341</v>
      </c>
      <c r="C321" t="s">
        <v>50</v>
      </c>
      <c r="D321" t="s">
        <v>12</v>
      </c>
      <c r="E321">
        <v>0</v>
      </c>
      <c r="F321" s="2">
        <v>2500</v>
      </c>
      <c r="G321">
        <f>E321*F321</f>
        <v>0</v>
      </c>
      <c r="H321" t="s">
        <v>103</v>
      </c>
      <c r="I321" t="s">
        <v>25</v>
      </c>
    </row>
    <row r="322" spans="1:9" x14ac:dyDescent="0.35">
      <c r="A322" t="str">
        <f>"ORD"&amp;TEXT(ROW()-2,"0000")</f>
        <v>ORD0320</v>
      </c>
      <c r="B322" s="12">
        <v>46342</v>
      </c>
      <c r="C322" t="s">
        <v>17</v>
      </c>
      <c r="D322" t="s">
        <v>12</v>
      </c>
      <c r="E322">
        <v>4</v>
      </c>
      <c r="F322" s="2">
        <v>3000</v>
      </c>
      <c r="G322">
        <f>E322*F322</f>
        <v>12000</v>
      </c>
      <c r="H322" t="s">
        <v>30</v>
      </c>
      <c r="I322" t="s">
        <v>73</v>
      </c>
    </row>
    <row r="323" spans="1:9" x14ac:dyDescent="0.35">
      <c r="A323" t="str">
        <f>"ORD"&amp;TEXT(ROW()-2,"0000")</f>
        <v>ORD0321</v>
      </c>
      <c r="B323" s="12">
        <v>46343</v>
      </c>
      <c r="C323" t="s">
        <v>89</v>
      </c>
      <c r="D323" t="s">
        <v>90</v>
      </c>
      <c r="E323">
        <v>15</v>
      </c>
      <c r="F323" s="2">
        <v>1200</v>
      </c>
      <c r="G323">
        <f>E323*F323</f>
        <v>18000</v>
      </c>
      <c r="H323" t="s">
        <v>123</v>
      </c>
      <c r="I323" t="s">
        <v>63</v>
      </c>
    </row>
    <row r="324" spans="1:9" x14ac:dyDescent="0.35">
      <c r="A324" t="str">
        <f>"ORD"&amp;TEXT(ROW()-2,"0000")</f>
        <v>ORD0322</v>
      </c>
      <c r="B324" s="12">
        <v>46344</v>
      </c>
      <c r="C324" t="s">
        <v>60</v>
      </c>
      <c r="D324" t="s">
        <v>38</v>
      </c>
      <c r="E324">
        <v>9</v>
      </c>
      <c r="F324" s="2">
        <v>2000</v>
      </c>
      <c r="G324">
        <f>E324*F324</f>
        <v>18000</v>
      </c>
      <c r="H324" t="s">
        <v>123</v>
      </c>
      <c r="I324" t="s">
        <v>66</v>
      </c>
    </row>
    <row r="325" spans="1:9" x14ac:dyDescent="0.35">
      <c r="A325" t="str">
        <f>"ORD"&amp;TEXT(ROW()-2,"0000")</f>
        <v>ORD0323</v>
      </c>
      <c r="B325" s="12">
        <v>46345</v>
      </c>
      <c r="C325" t="s">
        <v>21</v>
      </c>
      <c r="D325" t="s">
        <v>22</v>
      </c>
      <c r="E325">
        <v>6</v>
      </c>
      <c r="F325" s="2">
        <v>1000</v>
      </c>
      <c r="G325">
        <f>E325*F325</f>
        <v>6000</v>
      </c>
      <c r="H325" t="s">
        <v>13</v>
      </c>
      <c r="I325" t="s">
        <v>107</v>
      </c>
    </row>
    <row r="326" spans="1:9" x14ac:dyDescent="0.35">
      <c r="A326" t="str">
        <f>"ORD"&amp;TEXT(ROW()-2,"0000")</f>
        <v>ORD0324</v>
      </c>
      <c r="B326" s="12">
        <v>46346</v>
      </c>
      <c r="C326" t="s">
        <v>89</v>
      </c>
      <c r="D326" t="s">
        <v>90</v>
      </c>
      <c r="E326">
        <v>5</v>
      </c>
      <c r="F326" s="2">
        <v>1200</v>
      </c>
      <c r="G326">
        <f>E326*F326</f>
        <v>6000</v>
      </c>
      <c r="H326" t="s">
        <v>103</v>
      </c>
      <c r="I326" t="s">
        <v>54</v>
      </c>
    </row>
    <row r="327" spans="1:9" x14ac:dyDescent="0.35">
      <c r="A327" t="str">
        <f>"ORD"&amp;TEXT(ROW()-2,"0000")</f>
        <v>ORD0325</v>
      </c>
      <c r="B327" s="12">
        <v>46347</v>
      </c>
      <c r="C327" t="s">
        <v>21</v>
      </c>
      <c r="D327" t="s">
        <v>22</v>
      </c>
      <c r="E327">
        <v>8</v>
      </c>
      <c r="F327" s="2">
        <v>1000</v>
      </c>
      <c r="G327">
        <f>E327*F327</f>
        <v>8000</v>
      </c>
      <c r="H327" t="s">
        <v>24</v>
      </c>
      <c r="I327" t="s">
        <v>14</v>
      </c>
    </row>
    <row r="328" spans="1:9" x14ac:dyDescent="0.35">
      <c r="A328" t="str">
        <f>"ORD"&amp;TEXT(ROW()-2,"0000")</f>
        <v>ORD0326</v>
      </c>
      <c r="B328" s="12">
        <v>46348</v>
      </c>
      <c r="C328" t="s">
        <v>28</v>
      </c>
      <c r="D328" t="s">
        <v>29</v>
      </c>
      <c r="E328">
        <v>9</v>
      </c>
      <c r="F328" s="2">
        <v>1500</v>
      </c>
      <c r="G328">
        <f>E328*F328</f>
        <v>13500</v>
      </c>
      <c r="H328" t="s">
        <v>47</v>
      </c>
      <c r="I328" t="s">
        <v>54</v>
      </c>
    </row>
    <row r="329" spans="1:9" x14ac:dyDescent="0.35">
      <c r="A329" t="str">
        <f>"ORD"&amp;TEXT(ROW()-2,"0000")</f>
        <v>ORD0327</v>
      </c>
      <c r="B329" s="12">
        <v>46349</v>
      </c>
      <c r="C329" t="s">
        <v>17</v>
      </c>
      <c r="D329" t="s">
        <v>12</v>
      </c>
      <c r="E329">
        <v>5</v>
      </c>
      <c r="F329" s="2">
        <v>3000</v>
      </c>
      <c r="G329">
        <f>E329*F329</f>
        <v>15000</v>
      </c>
      <c r="H329" t="s">
        <v>24</v>
      </c>
      <c r="I329" t="s">
        <v>76</v>
      </c>
    </row>
    <row r="330" spans="1:9" x14ac:dyDescent="0.35">
      <c r="A330" t="str">
        <f>"ORD"&amp;TEXT(ROW()-2,"0000")</f>
        <v>ORD0328</v>
      </c>
      <c r="B330" s="12">
        <v>46350</v>
      </c>
      <c r="C330" t="s">
        <v>50</v>
      </c>
      <c r="D330" t="s">
        <v>12</v>
      </c>
      <c r="E330">
        <v>2</v>
      </c>
      <c r="F330" s="2" t="s">
        <v>298</v>
      </c>
      <c r="G330">
        <f>E330*F330</f>
        <v>5000</v>
      </c>
      <c r="H330" t="s">
        <v>24</v>
      </c>
      <c r="I330" t="s">
        <v>31</v>
      </c>
    </row>
    <row r="331" spans="1:9" x14ac:dyDescent="0.35">
      <c r="A331" t="str">
        <f>"ORD"&amp;TEXT(ROW()-2,"0000")</f>
        <v>ORD0329</v>
      </c>
      <c r="B331" s="12">
        <v>46351</v>
      </c>
      <c r="C331" t="s">
        <v>17</v>
      </c>
      <c r="D331" t="s">
        <v>12</v>
      </c>
      <c r="E331">
        <v>15</v>
      </c>
      <c r="F331" s="2">
        <v>3000</v>
      </c>
      <c r="G331">
        <f>E331*F331</f>
        <v>45000</v>
      </c>
      <c r="H331" t="s">
        <v>13</v>
      </c>
      <c r="I331" t="s">
        <v>31</v>
      </c>
    </row>
    <row r="332" spans="1:9" x14ac:dyDescent="0.35">
      <c r="A332" t="str">
        <f>"ORD"&amp;TEXT(ROW()-2,"0000")</f>
        <v>ORD0330</v>
      </c>
      <c r="B332" s="12">
        <v>46352</v>
      </c>
      <c r="C332" t="s">
        <v>17</v>
      </c>
      <c r="D332" t="s">
        <v>12</v>
      </c>
      <c r="E332">
        <v>6</v>
      </c>
      <c r="F332" s="2">
        <v>3000</v>
      </c>
      <c r="G332">
        <f>E332*F332</f>
        <v>18000</v>
      </c>
      <c r="H332" t="s">
        <v>30</v>
      </c>
      <c r="I332" t="s">
        <v>76</v>
      </c>
    </row>
    <row r="333" spans="1:9" x14ac:dyDescent="0.35">
      <c r="A333" t="str">
        <f>"ORD"&amp;TEXT(ROW()-2,"0000")</f>
        <v>ORD0331</v>
      </c>
      <c r="B333" s="12">
        <v>46353</v>
      </c>
      <c r="C333" t="s">
        <v>21</v>
      </c>
      <c r="D333" t="s">
        <v>22</v>
      </c>
      <c r="E333">
        <v>1</v>
      </c>
      <c r="F333" s="2">
        <v>1000</v>
      </c>
      <c r="G333">
        <f>E333*F333</f>
        <v>1000</v>
      </c>
      <c r="H333" t="s">
        <v>18</v>
      </c>
      <c r="I333" t="s">
        <v>25</v>
      </c>
    </row>
    <row r="334" spans="1:9" x14ac:dyDescent="0.35">
      <c r="A334" t="str">
        <f>"ORD"&amp;TEXT(ROW()-2,"0000")</f>
        <v>ORD0332</v>
      </c>
      <c r="B334" s="12">
        <v>46354</v>
      </c>
      <c r="C334" t="s">
        <v>60</v>
      </c>
      <c r="D334" t="s">
        <v>38</v>
      </c>
      <c r="E334">
        <v>8</v>
      </c>
      <c r="F334" s="2">
        <v>2000</v>
      </c>
      <c r="G334">
        <f>E334*F334</f>
        <v>16000</v>
      </c>
      <c r="H334" t="s">
        <v>24</v>
      </c>
      <c r="I334" t="s">
        <v>25</v>
      </c>
    </row>
    <row r="335" spans="1:9" x14ac:dyDescent="0.35">
      <c r="A335" t="str">
        <f>"ORD"&amp;TEXT(ROW()-2,"0000")</f>
        <v>ORD0333</v>
      </c>
      <c r="B335" s="12">
        <v>46355</v>
      </c>
      <c r="C335" t="s">
        <v>50</v>
      </c>
      <c r="D335" t="s">
        <v>12</v>
      </c>
      <c r="E335">
        <v>6</v>
      </c>
      <c r="F335" s="2">
        <v>2500</v>
      </c>
      <c r="G335">
        <f>E335*F335</f>
        <v>15000</v>
      </c>
      <c r="H335" t="s">
        <v>18</v>
      </c>
      <c r="I335" t="s">
        <v>107</v>
      </c>
    </row>
    <row r="336" spans="1:9" x14ac:dyDescent="0.35">
      <c r="A336" t="str">
        <f>"ORD"&amp;TEXT(ROW()-2,"0000")</f>
        <v>ORD0334</v>
      </c>
      <c r="B336" s="12">
        <v>46356</v>
      </c>
      <c r="C336" t="s">
        <v>34</v>
      </c>
      <c r="D336" t="s">
        <v>29</v>
      </c>
      <c r="E336">
        <v>13</v>
      </c>
      <c r="F336" s="2">
        <v>5500</v>
      </c>
      <c r="G336">
        <f>E336*F336</f>
        <v>71500</v>
      </c>
      <c r="H336" t="s">
        <v>18</v>
      </c>
      <c r="I336" t="s">
        <v>40</v>
      </c>
    </row>
    <row r="337" spans="1:9" x14ac:dyDescent="0.35">
      <c r="A337" t="str">
        <f>"ORD"&amp;TEXT(ROW()-2,"0000")</f>
        <v>ORD0335</v>
      </c>
      <c r="B337" s="12">
        <v>46357</v>
      </c>
      <c r="C337" t="s">
        <v>28</v>
      </c>
      <c r="D337" t="s">
        <v>29</v>
      </c>
      <c r="E337">
        <v>4</v>
      </c>
      <c r="F337" s="2">
        <v>1500</v>
      </c>
      <c r="G337">
        <f>E337*F337</f>
        <v>6000</v>
      </c>
      <c r="H337" t="s">
        <v>53</v>
      </c>
      <c r="I337" t="s">
        <v>73</v>
      </c>
    </row>
    <row r="338" spans="1:9" x14ac:dyDescent="0.35">
      <c r="A338" t="str">
        <f>"ORD"&amp;TEXT(ROW()-2,"0000")</f>
        <v>ORD0336</v>
      </c>
      <c r="B338" s="12">
        <v>46358</v>
      </c>
      <c r="C338" t="s">
        <v>60</v>
      </c>
      <c r="D338" t="s">
        <v>38</v>
      </c>
      <c r="E338">
        <v>2</v>
      </c>
      <c r="F338" s="2">
        <v>2000</v>
      </c>
      <c r="G338">
        <f>E338*F338</f>
        <v>4000</v>
      </c>
      <c r="H338" t="s">
        <v>24</v>
      </c>
      <c r="I338" t="s">
        <v>66</v>
      </c>
    </row>
    <row r="339" spans="1:9" x14ac:dyDescent="0.35">
      <c r="A339" t="str">
        <f>"ORD"&amp;TEXT(ROW()-2,"0000")</f>
        <v>ORD0337</v>
      </c>
      <c r="B339" s="12">
        <v>46359</v>
      </c>
      <c r="C339" t="s">
        <v>11</v>
      </c>
      <c r="D339" t="s">
        <v>12</v>
      </c>
      <c r="E339">
        <v>6</v>
      </c>
      <c r="F339" s="2">
        <v>1800</v>
      </c>
      <c r="G339">
        <f>E339*F339</f>
        <v>10800</v>
      </c>
      <c r="H339" t="s">
        <v>53</v>
      </c>
      <c r="I339" t="s">
        <v>31</v>
      </c>
    </row>
    <row r="340" spans="1:9" x14ac:dyDescent="0.35">
      <c r="A340" t="str">
        <f>"ORD"&amp;TEXT(ROW()-2,"0000")</f>
        <v>ORD0338</v>
      </c>
      <c r="B340" s="12">
        <v>46360</v>
      </c>
      <c r="C340" t="s">
        <v>34</v>
      </c>
      <c r="D340" t="s">
        <v>29</v>
      </c>
      <c r="E340">
        <v>12</v>
      </c>
      <c r="F340" s="2">
        <v>5500</v>
      </c>
      <c r="G340">
        <f>E340*F340</f>
        <v>66000</v>
      </c>
      <c r="H340" t="s">
        <v>79</v>
      </c>
      <c r="I340" t="s">
        <v>73</v>
      </c>
    </row>
    <row r="341" spans="1:9" x14ac:dyDescent="0.35">
      <c r="A341" t="str">
        <f>"ORD"&amp;TEXT(ROW()-2,"0000")</f>
        <v>ORD0339</v>
      </c>
      <c r="B341" s="12">
        <v>46361</v>
      </c>
      <c r="C341" t="s">
        <v>60</v>
      </c>
      <c r="D341" t="s">
        <v>38</v>
      </c>
      <c r="E341">
        <v>7</v>
      </c>
      <c r="F341" s="2">
        <v>2000</v>
      </c>
      <c r="G341">
        <f>E341*F341</f>
        <v>14000</v>
      </c>
      <c r="H341" t="s">
        <v>47</v>
      </c>
      <c r="I341" t="s">
        <v>73</v>
      </c>
    </row>
    <row r="342" spans="1:9" x14ac:dyDescent="0.35">
      <c r="A342" t="str">
        <f>"ORD"&amp;TEXT(ROW()-2,"0000")</f>
        <v>ORD0340</v>
      </c>
      <c r="B342" s="12">
        <v>46362</v>
      </c>
      <c r="C342" t="s">
        <v>11</v>
      </c>
      <c r="D342" t="s">
        <v>12</v>
      </c>
      <c r="E342">
        <v>15</v>
      </c>
      <c r="F342" s="2">
        <v>1800</v>
      </c>
      <c r="G342">
        <f>E342*F342</f>
        <v>27000</v>
      </c>
      <c r="H342" t="s">
        <v>18</v>
      </c>
      <c r="I342" t="s">
        <v>73</v>
      </c>
    </row>
    <row r="343" spans="1:9" x14ac:dyDescent="0.35">
      <c r="A343" t="str">
        <f>"ORD"&amp;TEXT(ROW()-2,"0000")</f>
        <v>ORD0341</v>
      </c>
      <c r="B343" s="12">
        <v>46363</v>
      </c>
      <c r="C343" t="s">
        <v>89</v>
      </c>
      <c r="D343" t="s">
        <v>90</v>
      </c>
      <c r="E343">
        <v>2</v>
      </c>
      <c r="F343" s="2">
        <v>1200</v>
      </c>
      <c r="G343">
        <f>E343*F343</f>
        <v>2400</v>
      </c>
      <c r="H343" t="s">
        <v>18</v>
      </c>
      <c r="I343" t="s">
        <v>14</v>
      </c>
    </row>
    <row r="344" spans="1:9" x14ac:dyDescent="0.35">
      <c r="A344" t="str">
        <f>"ORD"&amp;TEXT(ROW()-2,"0000")</f>
        <v>ORD0342</v>
      </c>
      <c r="B344" s="12">
        <v>46364</v>
      </c>
      <c r="C344" t="s">
        <v>17</v>
      </c>
      <c r="D344" t="s">
        <v>12</v>
      </c>
      <c r="E344">
        <v>7</v>
      </c>
      <c r="F344" s="2">
        <v>3000</v>
      </c>
      <c r="G344">
        <f>E344*F344</f>
        <v>21000</v>
      </c>
      <c r="H344" t="s">
        <v>53</v>
      </c>
      <c r="I344" t="s">
        <v>54</v>
      </c>
    </row>
    <row r="345" spans="1:9" x14ac:dyDescent="0.35">
      <c r="A345" t="str">
        <f>"ORD"&amp;TEXT(ROW()-2,"0000")</f>
        <v>ORD0343</v>
      </c>
      <c r="B345" s="12">
        <v>46365</v>
      </c>
      <c r="C345" t="s">
        <v>60</v>
      </c>
      <c r="D345" t="s">
        <v>38</v>
      </c>
      <c r="E345">
        <v>6</v>
      </c>
      <c r="F345" s="2">
        <v>2000</v>
      </c>
      <c r="G345">
        <f>E345*F345</f>
        <v>12000</v>
      </c>
      <c r="H345" t="s">
        <v>47</v>
      </c>
      <c r="I345" t="s">
        <v>66</v>
      </c>
    </row>
    <row r="346" spans="1:9" x14ac:dyDescent="0.35">
      <c r="A346" t="str">
        <f>"ORD"&amp;TEXT(ROW()-2,"0000")</f>
        <v>ORD0344</v>
      </c>
      <c r="B346" s="12">
        <v>46366</v>
      </c>
      <c r="C346" t="s">
        <v>34</v>
      </c>
      <c r="D346" t="s">
        <v>29</v>
      </c>
      <c r="E346">
        <v>2</v>
      </c>
      <c r="F346" s="2">
        <v>5500</v>
      </c>
      <c r="G346">
        <f>E346*F346</f>
        <v>11000</v>
      </c>
      <c r="H346" t="s">
        <v>30</v>
      </c>
      <c r="I346" t="s">
        <v>107</v>
      </c>
    </row>
    <row r="347" spans="1:9" x14ac:dyDescent="0.35">
      <c r="A347" t="str">
        <f>"ORD"&amp;TEXT(ROW()-2,"0000")</f>
        <v>ORD0345</v>
      </c>
      <c r="B347" s="12">
        <v>46367</v>
      </c>
      <c r="C347" t="s">
        <v>21</v>
      </c>
      <c r="D347" t="s">
        <v>22</v>
      </c>
      <c r="E347">
        <v>11</v>
      </c>
      <c r="F347" s="2">
        <v>1000</v>
      </c>
      <c r="G347">
        <f>E347*F347</f>
        <v>11000</v>
      </c>
      <c r="H347" t="s">
        <v>39</v>
      </c>
      <c r="I347" t="s">
        <v>107</v>
      </c>
    </row>
    <row r="348" spans="1:9" x14ac:dyDescent="0.35">
      <c r="A348" t="str">
        <f>"ORD"&amp;TEXT(ROW()-2,"0000")</f>
        <v>ORD0346</v>
      </c>
      <c r="B348" s="12">
        <v>46368</v>
      </c>
      <c r="C348" t="s">
        <v>50</v>
      </c>
      <c r="D348" t="s">
        <v>12</v>
      </c>
      <c r="E348">
        <v>1</v>
      </c>
      <c r="F348" s="2">
        <v>2500</v>
      </c>
      <c r="G348">
        <f>E348*F348</f>
        <v>2500</v>
      </c>
      <c r="H348" t="s">
        <v>39</v>
      </c>
      <c r="I348" t="s">
        <v>40</v>
      </c>
    </row>
    <row r="349" spans="1:9" x14ac:dyDescent="0.35">
      <c r="A349" t="str">
        <f>"ORD"&amp;TEXT(ROW()-2,"0000")</f>
        <v>ORD0347</v>
      </c>
      <c r="B349" s="12">
        <v>46369</v>
      </c>
      <c r="C349" t="s">
        <v>89</v>
      </c>
      <c r="D349" t="s">
        <v>90</v>
      </c>
      <c r="E349">
        <v>1</v>
      </c>
      <c r="F349" s="2">
        <v>1200</v>
      </c>
      <c r="G349">
        <f>E349*F349</f>
        <v>1200</v>
      </c>
      <c r="H349" t="s">
        <v>43</v>
      </c>
      <c r="I349" t="s">
        <v>54</v>
      </c>
    </row>
    <row r="350" spans="1:9" x14ac:dyDescent="0.35">
      <c r="A350" t="str">
        <f>"ORD"&amp;TEXT(ROW()-2,"0000")</f>
        <v>ORD0348</v>
      </c>
      <c r="B350" s="12">
        <v>46370</v>
      </c>
      <c r="C350" t="s">
        <v>50</v>
      </c>
      <c r="D350" t="s">
        <v>12</v>
      </c>
      <c r="E350">
        <v>7</v>
      </c>
      <c r="F350" s="2">
        <v>2500</v>
      </c>
      <c r="G350">
        <f>E350*F350</f>
        <v>17500</v>
      </c>
      <c r="H350" t="s">
        <v>13</v>
      </c>
      <c r="I350" t="s">
        <v>40</v>
      </c>
    </row>
    <row r="351" spans="1:9" x14ac:dyDescent="0.35">
      <c r="A351" t="str">
        <f>"ORD"&amp;TEXT(ROW()-2,"0000")</f>
        <v>ORD0349</v>
      </c>
      <c r="B351" s="12">
        <v>46371</v>
      </c>
      <c r="C351" t="s">
        <v>11</v>
      </c>
      <c r="D351" t="s">
        <v>12</v>
      </c>
      <c r="E351">
        <v>9</v>
      </c>
      <c r="F351" s="2">
        <v>1800</v>
      </c>
      <c r="G351">
        <f>E351*F351</f>
        <v>16200</v>
      </c>
      <c r="H351" t="s">
        <v>39</v>
      </c>
      <c r="I351" t="s">
        <v>54</v>
      </c>
    </row>
    <row r="352" spans="1:9" x14ac:dyDescent="0.35">
      <c r="A352" t="str">
        <f>"ORD"&amp;TEXT(ROW()-2,"0000")</f>
        <v>ORD0350</v>
      </c>
      <c r="B352" s="12">
        <v>46372</v>
      </c>
      <c r="C352" t="s">
        <v>17</v>
      </c>
      <c r="D352" t="s">
        <v>12</v>
      </c>
      <c r="E352">
        <v>4</v>
      </c>
      <c r="F352" s="2">
        <v>3000</v>
      </c>
      <c r="G352">
        <f>E352*F352</f>
        <v>12000</v>
      </c>
      <c r="H352" t="s">
        <v>123</v>
      </c>
      <c r="I352" t="s">
        <v>63</v>
      </c>
    </row>
    <row r="353" spans="1:9" x14ac:dyDescent="0.35">
      <c r="A353" t="str">
        <f>"ORD"&amp;TEXT(ROW()-2,"0000")</f>
        <v>ORD0351</v>
      </c>
      <c r="B353" s="12">
        <v>46373</v>
      </c>
      <c r="C353" t="s">
        <v>11</v>
      </c>
      <c r="D353" t="s">
        <v>12</v>
      </c>
      <c r="E353">
        <v>3</v>
      </c>
      <c r="F353" s="2">
        <v>1800</v>
      </c>
      <c r="G353">
        <f>E353*F353</f>
        <v>5400</v>
      </c>
      <c r="H353" t="s">
        <v>123</v>
      </c>
      <c r="I353" t="s">
        <v>54</v>
      </c>
    </row>
    <row r="354" spans="1:9" x14ac:dyDescent="0.35">
      <c r="A354" t="str">
        <f>"ORD"&amp;TEXT(ROW()-2,"0000")</f>
        <v>ORD0352</v>
      </c>
      <c r="B354" s="12">
        <v>46374</v>
      </c>
      <c r="C354" t="s">
        <v>50</v>
      </c>
      <c r="D354" t="s">
        <v>12</v>
      </c>
      <c r="E354">
        <v>10</v>
      </c>
      <c r="F354" s="2">
        <v>2500</v>
      </c>
      <c r="G354">
        <f>E354*F354</f>
        <v>25000</v>
      </c>
      <c r="H354" t="s">
        <v>53</v>
      </c>
      <c r="I354" t="s">
        <v>31</v>
      </c>
    </row>
    <row r="355" spans="1:9" x14ac:dyDescent="0.35">
      <c r="A355" t="str">
        <f>"ORD"&amp;TEXT(ROW()-2,"0000")</f>
        <v>ORD0353</v>
      </c>
      <c r="B355" s="12">
        <v>46375</v>
      </c>
      <c r="C355" t="s">
        <v>50</v>
      </c>
      <c r="D355" t="s">
        <v>12</v>
      </c>
      <c r="E355">
        <v>8</v>
      </c>
      <c r="F355" s="2">
        <v>2500</v>
      </c>
      <c r="G355">
        <f>E355*F355</f>
        <v>20000</v>
      </c>
      <c r="H355" t="s">
        <v>13</v>
      </c>
      <c r="I355" t="s">
        <v>107</v>
      </c>
    </row>
    <row r="356" spans="1:9" x14ac:dyDescent="0.35">
      <c r="A356" t="str">
        <f>"ORD"&amp;TEXT(ROW()-2,"0000")</f>
        <v>ORD0354</v>
      </c>
      <c r="B356" s="12">
        <v>46376</v>
      </c>
      <c r="C356" t="s">
        <v>28</v>
      </c>
      <c r="D356" t="s">
        <v>29</v>
      </c>
      <c r="E356">
        <v>11</v>
      </c>
      <c r="F356" s="2">
        <v>1500</v>
      </c>
      <c r="G356">
        <f>E356*F356</f>
        <v>16500</v>
      </c>
      <c r="H356" t="s">
        <v>24</v>
      </c>
      <c r="I356" t="s">
        <v>73</v>
      </c>
    </row>
    <row r="357" spans="1:9" x14ac:dyDescent="0.35">
      <c r="A357" t="str">
        <f>"ORD"&amp;TEXT(ROW()-2,"0000")</f>
        <v>ORD0355</v>
      </c>
      <c r="B357" s="12">
        <v>46377</v>
      </c>
      <c r="C357" t="s">
        <v>28</v>
      </c>
      <c r="D357" t="s">
        <v>29</v>
      </c>
      <c r="E357">
        <v>15</v>
      </c>
      <c r="F357" s="2">
        <v>1500</v>
      </c>
      <c r="G357">
        <f>E357*F357</f>
        <v>22500</v>
      </c>
      <c r="H357" t="s">
        <v>123</v>
      </c>
      <c r="I357" t="s">
        <v>66</v>
      </c>
    </row>
    <row r="358" spans="1:9" x14ac:dyDescent="0.35">
      <c r="A358" t="str">
        <f>"ORD"&amp;TEXT(ROW()-2,"0000")</f>
        <v>ORD0356</v>
      </c>
      <c r="B358" s="12">
        <v>46378</v>
      </c>
      <c r="C358" t="s">
        <v>89</v>
      </c>
      <c r="D358" t="s">
        <v>90</v>
      </c>
      <c r="E358">
        <v>8</v>
      </c>
      <c r="F358" s="2">
        <v>1200</v>
      </c>
      <c r="G358">
        <f>E358*F358</f>
        <v>9600</v>
      </c>
      <c r="H358" t="s">
        <v>72</v>
      </c>
      <c r="I358" t="s">
        <v>936</v>
      </c>
    </row>
    <row r="359" spans="1:9" x14ac:dyDescent="0.35">
      <c r="A359" t="str">
        <f>"ORD"&amp;TEXT(ROW()-2,"0000")</f>
        <v>ORD0357</v>
      </c>
      <c r="B359" s="12">
        <v>46379</v>
      </c>
      <c r="C359" t="s">
        <v>60</v>
      </c>
      <c r="D359" t="s">
        <v>38</v>
      </c>
      <c r="E359">
        <v>1</v>
      </c>
      <c r="F359" s="2">
        <v>2000</v>
      </c>
      <c r="G359">
        <f>E359*F359</f>
        <v>2000</v>
      </c>
      <c r="H359" t="s">
        <v>30</v>
      </c>
      <c r="I359" t="s">
        <v>73</v>
      </c>
    </row>
    <row r="360" spans="1:9" x14ac:dyDescent="0.35">
      <c r="A360" t="str">
        <f>"ORD"&amp;TEXT(ROW()-2,"0000")</f>
        <v>ORD0358</v>
      </c>
      <c r="B360" s="12">
        <v>46380</v>
      </c>
      <c r="C360" t="s">
        <v>34</v>
      </c>
      <c r="D360" t="s">
        <v>29</v>
      </c>
      <c r="E360">
        <v>0</v>
      </c>
      <c r="F360" s="2">
        <v>5500</v>
      </c>
      <c r="G360">
        <f>E360*F360</f>
        <v>0</v>
      </c>
      <c r="H360" t="s">
        <v>47</v>
      </c>
      <c r="I360" t="s">
        <v>63</v>
      </c>
    </row>
    <row r="361" spans="1:9" x14ac:dyDescent="0.35">
      <c r="A361" t="str">
        <f>"ORD"&amp;TEXT(ROW()-2,"0000")</f>
        <v>ORD0359</v>
      </c>
      <c r="B361" s="12">
        <v>46381</v>
      </c>
      <c r="C361" t="s">
        <v>50</v>
      </c>
      <c r="D361" t="s">
        <v>12</v>
      </c>
      <c r="E361">
        <v>2</v>
      </c>
      <c r="F361" s="2">
        <v>2500</v>
      </c>
      <c r="G361">
        <f>E361*F361</f>
        <v>5000</v>
      </c>
      <c r="H361" t="s">
        <v>24</v>
      </c>
      <c r="I361" t="s">
        <v>54</v>
      </c>
    </row>
    <row r="362" spans="1:9" x14ac:dyDescent="0.35">
      <c r="A362" t="str">
        <f>"ORD"&amp;TEXT(ROW()-2,"0000")</f>
        <v>ORD0360</v>
      </c>
      <c r="B362" s="12">
        <v>46382</v>
      </c>
      <c r="C362" t="s">
        <v>11</v>
      </c>
      <c r="D362" t="s">
        <v>12</v>
      </c>
      <c r="E362">
        <v>2</v>
      </c>
      <c r="F362" s="2">
        <v>1800</v>
      </c>
      <c r="G362">
        <f>E362*F362</f>
        <v>3600</v>
      </c>
      <c r="H362" t="s">
        <v>13</v>
      </c>
      <c r="I362" t="s">
        <v>76</v>
      </c>
    </row>
    <row r="363" spans="1:9" x14ac:dyDescent="0.35">
      <c r="A363" t="str">
        <f>"ORD"&amp;TEXT(ROW()-2,"0000")</f>
        <v>ORD0361</v>
      </c>
      <c r="B363" s="12">
        <v>46383</v>
      </c>
      <c r="C363" t="s">
        <v>28</v>
      </c>
      <c r="D363" t="s">
        <v>29</v>
      </c>
      <c r="E363">
        <v>6</v>
      </c>
      <c r="F363" s="2">
        <v>1500</v>
      </c>
      <c r="G363">
        <f>E363*F363</f>
        <v>9000</v>
      </c>
      <c r="H363" t="s">
        <v>39</v>
      </c>
      <c r="I363" t="s">
        <v>66</v>
      </c>
    </row>
    <row r="364" spans="1:9" x14ac:dyDescent="0.35">
      <c r="A364" t="str">
        <f>"ORD"&amp;TEXT(ROW()-2,"0000")</f>
        <v>ORD0362</v>
      </c>
      <c r="B364" s="12">
        <v>46384</v>
      </c>
      <c r="C364" t="s">
        <v>17</v>
      </c>
      <c r="D364" t="s">
        <v>12</v>
      </c>
      <c r="E364">
        <v>7</v>
      </c>
      <c r="F364" s="2">
        <v>3000</v>
      </c>
      <c r="G364">
        <f>E364*F364</f>
        <v>21000</v>
      </c>
      <c r="H364" t="s">
        <v>79</v>
      </c>
      <c r="I364" t="s">
        <v>14</v>
      </c>
    </row>
    <row r="365" spans="1:9" x14ac:dyDescent="0.35">
      <c r="A365" t="str">
        <f>"ORD"&amp;TEXT(ROW()-2,"0000")</f>
        <v>ORD0363</v>
      </c>
      <c r="B365" s="12">
        <v>46385</v>
      </c>
      <c r="C365" t="s">
        <v>21</v>
      </c>
      <c r="D365" t="s">
        <v>22</v>
      </c>
      <c r="E365">
        <v>12</v>
      </c>
      <c r="F365" s="2" t="s">
        <v>23</v>
      </c>
      <c r="G365">
        <f>E365*F365</f>
        <v>12000</v>
      </c>
      <c r="H365" t="s">
        <v>53</v>
      </c>
      <c r="I365" t="s">
        <v>31</v>
      </c>
    </row>
    <row r="366" spans="1:9" x14ac:dyDescent="0.35">
      <c r="A366" t="str">
        <f>"ORD"&amp;TEXT(ROW()-2,"0000")</f>
        <v>ORD0364</v>
      </c>
      <c r="B366" s="12">
        <v>46386</v>
      </c>
      <c r="C366" t="s">
        <v>11</v>
      </c>
      <c r="D366" t="s">
        <v>12</v>
      </c>
      <c r="E366">
        <v>12</v>
      </c>
      <c r="F366" s="2">
        <v>1800</v>
      </c>
      <c r="G366">
        <f>E366*F366</f>
        <v>21600</v>
      </c>
      <c r="H366" t="s">
        <v>103</v>
      </c>
      <c r="I366" t="s">
        <v>107</v>
      </c>
    </row>
    <row r="367" spans="1:9" x14ac:dyDescent="0.35">
      <c r="A367" t="str">
        <f>"ORD"&amp;TEXT(ROW()-2,"0000")</f>
        <v>ORD0365</v>
      </c>
      <c r="B367" s="12">
        <v>46387</v>
      </c>
      <c r="C367" t="s">
        <v>11</v>
      </c>
      <c r="D367" t="s">
        <v>12</v>
      </c>
      <c r="E367">
        <v>11</v>
      </c>
      <c r="F367" s="2">
        <v>1800</v>
      </c>
      <c r="G367">
        <f>E367*F367</f>
        <v>19800</v>
      </c>
      <c r="H367" t="s">
        <v>53</v>
      </c>
      <c r="I367" t="s">
        <v>14</v>
      </c>
    </row>
    <row r="368" spans="1:9" x14ac:dyDescent="0.35">
      <c r="A368" t="str">
        <f>"ORD"&amp;TEXT(ROW()-2,"0000")</f>
        <v>ORD0366</v>
      </c>
      <c r="B368" s="12">
        <v>46388</v>
      </c>
      <c r="C368" t="s">
        <v>28</v>
      </c>
      <c r="D368" t="s">
        <v>29</v>
      </c>
      <c r="E368">
        <v>9</v>
      </c>
      <c r="F368" s="2">
        <v>1500</v>
      </c>
      <c r="G368">
        <f>E368*F368</f>
        <v>13500</v>
      </c>
      <c r="H368" t="s">
        <v>123</v>
      </c>
      <c r="I368" t="s">
        <v>107</v>
      </c>
    </row>
    <row r="369" spans="1:9" x14ac:dyDescent="0.35">
      <c r="A369" t="str">
        <f>"ORD"&amp;TEXT(ROW()-2,"0000")</f>
        <v>ORD0367</v>
      </c>
      <c r="B369" s="12">
        <v>46389</v>
      </c>
      <c r="C369" t="s">
        <v>89</v>
      </c>
      <c r="D369" t="s">
        <v>90</v>
      </c>
      <c r="E369">
        <v>14</v>
      </c>
      <c r="F369" s="2">
        <v>1200</v>
      </c>
      <c r="G369">
        <f>E369*F369</f>
        <v>16800</v>
      </c>
      <c r="H369" t="s">
        <v>43</v>
      </c>
      <c r="I369" t="s">
        <v>63</v>
      </c>
    </row>
    <row r="370" spans="1:9" x14ac:dyDescent="0.35">
      <c r="A370" t="str">
        <f>"ORD"&amp;TEXT(ROW()-2,"0000")</f>
        <v>ORD0368</v>
      </c>
      <c r="B370" s="12">
        <v>46390</v>
      </c>
      <c r="C370" t="s">
        <v>21</v>
      </c>
      <c r="D370" t="s">
        <v>22</v>
      </c>
      <c r="E370">
        <v>8</v>
      </c>
      <c r="F370" s="2">
        <v>1000</v>
      </c>
      <c r="G370">
        <f>E370*F370</f>
        <v>8000</v>
      </c>
      <c r="H370" t="s">
        <v>103</v>
      </c>
      <c r="I370" t="s">
        <v>31</v>
      </c>
    </row>
    <row r="371" spans="1:9" x14ac:dyDescent="0.35">
      <c r="A371" t="str">
        <f>"ORD"&amp;TEXT(ROW()-2,"0000")</f>
        <v>ORD0369</v>
      </c>
      <c r="B371" s="12">
        <v>46391</v>
      </c>
      <c r="C371" t="s">
        <v>34</v>
      </c>
      <c r="D371" t="s">
        <v>29</v>
      </c>
      <c r="E371">
        <v>3</v>
      </c>
      <c r="F371" s="2">
        <v>5500</v>
      </c>
      <c r="G371">
        <f>E371*F371</f>
        <v>16500</v>
      </c>
      <c r="H371" t="s">
        <v>30</v>
      </c>
      <c r="I371" t="s">
        <v>31</v>
      </c>
    </row>
    <row r="372" spans="1:9" x14ac:dyDescent="0.35">
      <c r="A372" t="str">
        <f>"ORD"&amp;TEXT(ROW()-2,"0000")</f>
        <v>ORD0370</v>
      </c>
      <c r="B372" s="12">
        <v>46392</v>
      </c>
      <c r="C372" t="s">
        <v>50</v>
      </c>
      <c r="D372" t="s">
        <v>12</v>
      </c>
      <c r="E372">
        <v>15</v>
      </c>
      <c r="F372" s="2">
        <v>2500</v>
      </c>
      <c r="G372">
        <f>E372*F372</f>
        <v>37500</v>
      </c>
      <c r="H372" t="s">
        <v>53</v>
      </c>
      <c r="I372" t="s">
        <v>14</v>
      </c>
    </row>
    <row r="373" spans="1:9" x14ac:dyDescent="0.35">
      <c r="A373" t="str">
        <f>"ORD"&amp;TEXT(ROW()-2,"0000")</f>
        <v>ORD0371</v>
      </c>
      <c r="B373" s="12">
        <v>46393</v>
      </c>
      <c r="C373" t="s">
        <v>11</v>
      </c>
      <c r="D373" t="s">
        <v>12</v>
      </c>
      <c r="E373">
        <v>5</v>
      </c>
      <c r="F373" s="2">
        <v>1800</v>
      </c>
      <c r="G373">
        <f>E373*F373</f>
        <v>9000</v>
      </c>
      <c r="H373" t="s">
        <v>47</v>
      </c>
      <c r="I373" t="s">
        <v>76</v>
      </c>
    </row>
    <row r="374" spans="1:9" x14ac:dyDescent="0.35">
      <c r="A374" t="str">
        <f>"ORD"&amp;TEXT(ROW()-2,"0000")</f>
        <v>ORD0372</v>
      </c>
      <c r="B374" s="12">
        <v>46394</v>
      </c>
      <c r="C374" t="s">
        <v>21</v>
      </c>
      <c r="D374" t="s">
        <v>22</v>
      </c>
      <c r="E374">
        <v>3</v>
      </c>
      <c r="F374" s="2">
        <v>1000</v>
      </c>
      <c r="G374">
        <f>E374*F374</f>
        <v>3000</v>
      </c>
      <c r="H374" t="s">
        <v>30</v>
      </c>
      <c r="I374" t="s">
        <v>54</v>
      </c>
    </row>
    <row r="375" spans="1:9" x14ac:dyDescent="0.35">
      <c r="A375" t="str">
        <f>"ORD"&amp;TEXT(ROW()-2,"0000")</f>
        <v>ORD0373</v>
      </c>
      <c r="B375" s="12">
        <v>46395</v>
      </c>
      <c r="C375" t="s">
        <v>28</v>
      </c>
      <c r="D375" t="s">
        <v>29</v>
      </c>
      <c r="E375">
        <v>11</v>
      </c>
      <c r="F375" s="2">
        <v>1500</v>
      </c>
      <c r="G375">
        <f>E375*F375</f>
        <v>16500</v>
      </c>
      <c r="H375" t="s">
        <v>18</v>
      </c>
      <c r="I375" t="s">
        <v>63</v>
      </c>
    </row>
    <row r="376" spans="1:9" x14ac:dyDescent="0.35">
      <c r="A376" t="str">
        <f>"ORD"&amp;TEXT(ROW()-2,"0000")</f>
        <v>ORD0374</v>
      </c>
      <c r="B376" s="12">
        <v>46396</v>
      </c>
      <c r="C376" t="s">
        <v>17</v>
      </c>
      <c r="D376" t="s">
        <v>12</v>
      </c>
      <c r="E376">
        <v>7</v>
      </c>
      <c r="F376" s="2">
        <v>3000</v>
      </c>
      <c r="G376">
        <f>E376*F376</f>
        <v>21000</v>
      </c>
      <c r="H376" t="s">
        <v>53</v>
      </c>
      <c r="I376" t="s">
        <v>107</v>
      </c>
    </row>
    <row r="377" spans="1:9" x14ac:dyDescent="0.35">
      <c r="A377" t="str">
        <f>"ORD"&amp;TEXT(ROW()-2,"0000")</f>
        <v>ORD0375</v>
      </c>
      <c r="B377" s="12">
        <v>46397</v>
      </c>
      <c r="C377" t="s">
        <v>21</v>
      </c>
      <c r="D377" t="s">
        <v>22</v>
      </c>
      <c r="E377">
        <v>6</v>
      </c>
      <c r="F377" s="2">
        <v>1000</v>
      </c>
      <c r="G377">
        <f>E377*F377</f>
        <v>6000</v>
      </c>
      <c r="H377" t="s">
        <v>47</v>
      </c>
      <c r="I377" t="s">
        <v>63</v>
      </c>
    </row>
    <row r="378" spans="1:9" x14ac:dyDescent="0.35">
      <c r="A378" t="str">
        <f>"ORD"&amp;TEXT(ROW()-2,"0000")</f>
        <v>ORD0376</v>
      </c>
      <c r="B378" s="12">
        <v>46398</v>
      </c>
      <c r="C378" t="s">
        <v>17</v>
      </c>
      <c r="D378" t="s">
        <v>12</v>
      </c>
      <c r="E378">
        <v>14</v>
      </c>
      <c r="F378" s="2">
        <v>3000</v>
      </c>
      <c r="G378">
        <f>E378*F378</f>
        <v>42000</v>
      </c>
      <c r="H378" t="s">
        <v>53</v>
      </c>
      <c r="I378" t="s">
        <v>25</v>
      </c>
    </row>
    <row r="379" spans="1:9" x14ac:dyDescent="0.35">
      <c r="A379" t="str">
        <f>"ORD"&amp;TEXT(ROW()-2,"0000")</f>
        <v>ORD0377</v>
      </c>
      <c r="B379" s="12">
        <v>46399</v>
      </c>
      <c r="C379" t="s">
        <v>34</v>
      </c>
      <c r="D379" t="s">
        <v>29</v>
      </c>
      <c r="E379">
        <v>9</v>
      </c>
      <c r="F379" s="2">
        <v>5500</v>
      </c>
      <c r="G379">
        <f>E379*F379</f>
        <v>49500</v>
      </c>
      <c r="H379" t="s">
        <v>39</v>
      </c>
      <c r="I379" t="s">
        <v>14</v>
      </c>
    </row>
    <row r="380" spans="1:9" x14ac:dyDescent="0.35">
      <c r="A380" t="str">
        <f>"ORD"&amp;TEXT(ROW()-2,"0000")</f>
        <v>ORD0378</v>
      </c>
      <c r="B380" s="12">
        <v>46400</v>
      </c>
      <c r="C380" t="s">
        <v>50</v>
      </c>
      <c r="D380" t="s">
        <v>12</v>
      </c>
      <c r="E380">
        <v>2</v>
      </c>
      <c r="F380" s="2">
        <v>2500</v>
      </c>
      <c r="G380">
        <f>E380*F380</f>
        <v>5000</v>
      </c>
      <c r="H380" t="s">
        <v>18</v>
      </c>
      <c r="I380" t="s">
        <v>63</v>
      </c>
    </row>
    <row r="381" spans="1:9" x14ac:dyDescent="0.35">
      <c r="A381" t="str">
        <f>"ORD"&amp;TEXT(ROW()-2,"0000")</f>
        <v>ORD0379</v>
      </c>
      <c r="B381" s="12">
        <v>46401</v>
      </c>
      <c r="C381" t="s">
        <v>60</v>
      </c>
      <c r="D381" t="s">
        <v>38</v>
      </c>
      <c r="E381">
        <v>3</v>
      </c>
      <c r="F381" s="2" t="s">
        <v>164</v>
      </c>
      <c r="G381">
        <f>E381*F381</f>
        <v>6000</v>
      </c>
      <c r="H381" t="s">
        <v>79</v>
      </c>
      <c r="I381" t="s">
        <v>76</v>
      </c>
    </row>
    <row r="382" spans="1:9" x14ac:dyDescent="0.35">
      <c r="A382" t="str">
        <f>"ORD"&amp;TEXT(ROW()-2,"0000")</f>
        <v>ORD0380</v>
      </c>
      <c r="B382" s="12">
        <v>46402</v>
      </c>
      <c r="C382" t="s">
        <v>50</v>
      </c>
      <c r="D382" t="s">
        <v>12</v>
      </c>
      <c r="E382">
        <v>1</v>
      </c>
      <c r="F382" s="2">
        <v>2500</v>
      </c>
      <c r="G382">
        <f>E382*F382</f>
        <v>2500</v>
      </c>
      <c r="H382" t="s">
        <v>13</v>
      </c>
      <c r="I382" t="s">
        <v>66</v>
      </c>
    </row>
    <row r="383" spans="1:9" x14ac:dyDescent="0.35">
      <c r="A383" t="str">
        <f>"ORD"&amp;TEXT(ROW()-2,"0000")</f>
        <v>ORD0381</v>
      </c>
      <c r="B383" s="12">
        <v>46403</v>
      </c>
      <c r="C383" t="s">
        <v>21</v>
      </c>
      <c r="D383" t="s">
        <v>22</v>
      </c>
      <c r="E383">
        <v>11</v>
      </c>
      <c r="F383" s="2" t="s">
        <v>23</v>
      </c>
      <c r="G383">
        <f>E383*F383</f>
        <v>11000</v>
      </c>
      <c r="H383" t="s">
        <v>103</v>
      </c>
      <c r="I383" t="s">
        <v>54</v>
      </c>
    </row>
    <row r="384" spans="1:9" x14ac:dyDescent="0.35">
      <c r="A384" t="str">
        <f>"ORD"&amp;TEXT(ROW()-2,"0000")</f>
        <v>ORD0382</v>
      </c>
      <c r="B384" s="12">
        <v>46404</v>
      </c>
      <c r="C384" t="s">
        <v>21</v>
      </c>
      <c r="D384" t="s">
        <v>22</v>
      </c>
      <c r="E384">
        <v>13</v>
      </c>
      <c r="F384" s="2">
        <v>1000</v>
      </c>
      <c r="G384">
        <f>E384*F384</f>
        <v>13000</v>
      </c>
      <c r="H384" t="s">
        <v>30</v>
      </c>
      <c r="I384" t="s">
        <v>14</v>
      </c>
    </row>
    <row r="385" spans="1:9" x14ac:dyDescent="0.35">
      <c r="A385" t="str">
        <f>"ORD"&amp;TEXT(ROW()-2,"0000")</f>
        <v>ORD0383</v>
      </c>
      <c r="B385" s="12">
        <v>46405</v>
      </c>
      <c r="C385" t="s">
        <v>89</v>
      </c>
      <c r="D385" t="s">
        <v>90</v>
      </c>
      <c r="E385">
        <v>5</v>
      </c>
      <c r="F385" s="2">
        <v>1200</v>
      </c>
      <c r="G385">
        <f>E385*F385</f>
        <v>6000</v>
      </c>
      <c r="H385" t="s">
        <v>39</v>
      </c>
      <c r="I385" t="s">
        <v>54</v>
      </c>
    </row>
    <row r="386" spans="1:9" x14ac:dyDescent="0.35">
      <c r="A386" t="str">
        <f>"ORD"&amp;TEXT(ROW()-2,"0000")</f>
        <v>ORD0384</v>
      </c>
      <c r="B386" s="12">
        <v>46406</v>
      </c>
      <c r="C386" t="s">
        <v>21</v>
      </c>
      <c r="D386" t="s">
        <v>22</v>
      </c>
      <c r="E386">
        <v>14</v>
      </c>
      <c r="F386" s="2">
        <v>1000</v>
      </c>
      <c r="G386">
        <f>E386*F386</f>
        <v>14000</v>
      </c>
      <c r="H386" t="s">
        <v>47</v>
      </c>
      <c r="I386" t="s">
        <v>25</v>
      </c>
    </row>
    <row r="387" spans="1:9" x14ac:dyDescent="0.35">
      <c r="A387" t="str">
        <f>"ORD"&amp;TEXT(ROW()-2,"0000")</f>
        <v>ORD0385</v>
      </c>
      <c r="B387" s="12">
        <v>46407</v>
      </c>
      <c r="C387" t="s">
        <v>11</v>
      </c>
      <c r="D387" t="s">
        <v>12</v>
      </c>
      <c r="E387">
        <v>12</v>
      </c>
      <c r="F387" s="2">
        <v>1800</v>
      </c>
      <c r="G387">
        <f>E387*F387</f>
        <v>21600</v>
      </c>
      <c r="H387" t="s">
        <v>103</v>
      </c>
      <c r="I387" t="s">
        <v>107</v>
      </c>
    </row>
    <row r="388" spans="1:9" x14ac:dyDescent="0.35">
      <c r="A388" t="str">
        <f>"ORD"&amp;TEXT(ROW()-2,"0000")</f>
        <v>ORD0386</v>
      </c>
      <c r="B388" s="12">
        <v>46408</v>
      </c>
      <c r="C388" t="s">
        <v>60</v>
      </c>
      <c r="D388" t="s">
        <v>38</v>
      </c>
      <c r="E388">
        <v>6</v>
      </c>
      <c r="F388" s="2">
        <v>2000</v>
      </c>
      <c r="G388">
        <f>E388*F388</f>
        <v>12000</v>
      </c>
      <c r="H388" t="s">
        <v>39</v>
      </c>
      <c r="I388" t="s">
        <v>107</v>
      </c>
    </row>
    <row r="389" spans="1:9" x14ac:dyDescent="0.35">
      <c r="A389" t="str">
        <f>"ORD"&amp;TEXT(ROW()-2,"0000")</f>
        <v>ORD0387</v>
      </c>
      <c r="B389" s="12">
        <v>46409</v>
      </c>
      <c r="C389" t="s">
        <v>11</v>
      </c>
      <c r="D389" t="s">
        <v>12</v>
      </c>
      <c r="E389">
        <v>9</v>
      </c>
      <c r="F389" s="2">
        <v>1800</v>
      </c>
      <c r="G389">
        <f>E389*F389</f>
        <v>16200</v>
      </c>
      <c r="H389" t="s">
        <v>103</v>
      </c>
      <c r="I389" t="s">
        <v>14</v>
      </c>
    </row>
    <row r="390" spans="1:9" x14ac:dyDescent="0.35">
      <c r="A390" t="str">
        <f>"ORD"&amp;TEXT(ROW()-2,"0000")</f>
        <v>ORD0388</v>
      </c>
      <c r="B390" s="12">
        <v>46410</v>
      </c>
      <c r="C390" t="s">
        <v>28</v>
      </c>
      <c r="D390" t="s">
        <v>29</v>
      </c>
      <c r="E390">
        <v>12</v>
      </c>
      <c r="F390" s="2">
        <v>1500</v>
      </c>
      <c r="G390">
        <f>E390*F390</f>
        <v>18000</v>
      </c>
      <c r="H390" t="s">
        <v>43</v>
      </c>
      <c r="I390" t="s">
        <v>40</v>
      </c>
    </row>
    <row r="391" spans="1:9" x14ac:dyDescent="0.35">
      <c r="A391" t="str">
        <f>"ORD"&amp;TEXT(ROW()-2,"0000")</f>
        <v>ORD0389</v>
      </c>
      <c r="B391" s="12">
        <v>46411</v>
      </c>
      <c r="C391" t="s">
        <v>50</v>
      </c>
      <c r="D391" t="s">
        <v>12</v>
      </c>
      <c r="E391">
        <v>11</v>
      </c>
      <c r="F391" s="2">
        <v>2500</v>
      </c>
      <c r="G391">
        <f>E391*F391</f>
        <v>27500</v>
      </c>
      <c r="H391" t="s">
        <v>43</v>
      </c>
      <c r="I391" t="s">
        <v>63</v>
      </c>
    </row>
    <row r="392" spans="1:9" x14ac:dyDescent="0.35">
      <c r="A392" t="str">
        <f>"ORD"&amp;TEXT(ROW()-2,"0000")</f>
        <v>ORD0390</v>
      </c>
      <c r="B392" s="12">
        <v>46412</v>
      </c>
      <c r="C392" t="s">
        <v>11</v>
      </c>
      <c r="D392" t="s">
        <v>12</v>
      </c>
      <c r="E392">
        <v>9</v>
      </c>
      <c r="F392" s="2">
        <v>1800</v>
      </c>
      <c r="G392">
        <f>E392*F392</f>
        <v>16200</v>
      </c>
      <c r="H392" t="s">
        <v>13</v>
      </c>
      <c r="I392" t="s">
        <v>107</v>
      </c>
    </row>
    <row r="393" spans="1:9" x14ac:dyDescent="0.35">
      <c r="A393" t="str">
        <f>"ORD"&amp;TEXT(ROW()-2,"0000")</f>
        <v>ORD0391</v>
      </c>
      <c r="B393" s="12">
        <v>46413</v>
      </c>
      <c r="C393" t="s">
        <v>21</v>
      </c>
      <c r="D393" t="s">
        <v>22</v>
      </c>
      <c r="E393">
        <v>9</v>
      </c>
      <c r="F393" s="2">
        <v>1000</v>
      </c>
      <c r="G393">
        <f>E393*F393</f>
        <v>9000</v>
      </c>
      <c r="H393" t="s">
        <v>39</v>
      </c>
      <c r="I393" t="s">
        <v>936</v>
      </c>
    </row>
    <row r="394" spans="1:9" x14ac:dyDescent="0.35">
      <c r="A394" t="str">
        <f>"ORD"&amp;TEXT(ROW()-2,"0000")</f>
        <v>ORD0392</v>
      </c>
      <c r="B394" s="12">
        <v>46414</v>
      </c>
      <c r="C394" t="s">
        <v>89</v>
      </c>
      <c r="D394" t="s">
        <v>90</v>
      </c>
      <c r="E394">
        <v>1</v>
      </c>
      <c r="F394" s="2">
        <v>1200</v>
      </c>
      <c r="G394">
        <f>E394*F394</f>
        <v>1200</v>
      </c>
      <c r="H394" t="s">
        <v>79</v>
      </c>
      <c r="I394" t="s">
        <v>73</v>
      </c>
    </row>
    <row r="395" spans="1:9" x14ac:dyDescent="0.35">
      <c r="A395" t="str">
        <f>"ORD"&amp;TEXT(ROW()-2,"0000")</f>
        <v>ORD0393</v>
      </c>
      <c r="B395" s="12">
        <v>46415</v>
      </c>
      <c r="C395" t="s">
        <v>17</v>
      </c>
      <c r="D395" t="s">
        <v>12</v>
      </c>
      <c r="E395">
        <v>10</v>
      </c>
      <c r="F395" s="2">
        <v>3000</v>
      </c>
      <c r="G395">
        <f>E395*F395</f>
        <v>30000</v>
      </c>
      <c r="H395" t="s">
        <v>30</v>
      </c>
      <c r="I395" t="s">
        <v>54</v>
      </c>
    </row>
    <row r="396" spans="1:9" x14ac:dyDescent="0.35">
      <c r="A396" t="str">
        <f>"ORD"&amp;TEXT(ROW()-2,"0000")</f>
        <v>ORD0394</v>
      </c>
      <c r="B396" s="12">
        <v>46416</v>
      </c>
      <c r="C396" t="s">
        <v>34</v>
      </c>
      <c r="D396" t="s">
        <v>29</v>
      </c>
      <c r="E396">
        <v>4</v>
      </c>
      <c r="F396" s="2">
        <v>5500</v>
      </c>
      <c r="G396">
        <f>E396*F396</f>
        <v>22000</v>
      </c>
      <c r="H396" t="s">
        <v>53</v>
      </c>
      <c r="I396" t="s">
        <v>25</v>
      </c>
    </row>
    <row r="397" spans="1:9" x14ac:dyDescent="0.35">
      <c r="A397" t="str">
        <f>"ORD"&amp;TEXT(ROW()-2,"0000")</f>
        <v>ORD0395</v>
      </c>
      <c r="B397" s="12">
        <v>46417</v>
      </c>
      <c r="C397" t="s">
        <v>34</v>
      </c>
      <c r="D397" t="s">
        <v>29</v>
      </c>
      <c r="E397">
        <v>0</v>
      </c>
      <c r="F397" s="2">
        <v>5500</v>
      </c>
      <c r="G397">
        <f>E397*F397</f>
        <v>0</v>
      </c>
      <c r="H397" t="s">
        <v>72</v>
      </c>
      <c r="I397" t="s">
        <v>40</v>
      </c>
    </row>
    <row r="398" spans="1:9" x14ac:dyDescent="0.35">
      <c r="A398" t="str">
        <f>"ORD"&amp;TEXT(ROW()-2,"0000")</f>
        <v>ORD0396</v>
      </c>
      <c r="B398" s="12">
        <v>46418</v>
      </c>
      <c r="C398" t="s">
        <v>50</v>
      </c>
      <c r="D398" t="s">
        <v>12</v>
      </c>
      <c r="E398">
        <v>5</v>
      </c>
      <c r="F398" s="2">
        <v>2500</v>
      </c>
      <c r="G398">
        <f>E398*F398</f>
        <v>12500</v>
      </c>
      <c r="H398" t="s">
        <v>30</v>
      </c>
      <c r="I398" t="s">
        <v>73</v>
      </c>
    </row>
    <row r="399" spans="1:9" x14ac:dyDescent="0.35">
      <c r="A399" t="str">
        <f>"ORD"&amp;TEXT(ROW()-2,"0000")</f>
        <v>ORD0397</v>
      </c>
      <c r="B399" s="12">
        <v>46419</v>
      </c>
      <c r="C399" t="s">
        <v>50</v>
      </c>
      <c r="D399" t="s">
        <v>12</v>
      </c>
      <c r="E399">
        <v>11</v>
      </c>
      <c r="F399" s="2">
        <v>2500</v>
      </c>
      <c r="G399">
        <f>E399*F399</f>
        <v>27500</v>
      </c>
      <c r="H399" t="s">
        <v>43</v>
      </c>
      <c r="I399" t="s">
        <v>25</v>
      </c>
    </row>
    <row r="400" spans="1:9" x14ac:dyDescent="0.35">
      <c r="A400" t="str">
        <f>"ORD"&amp;TEXT(ROW()-2,"0000")</f>
        <v>ORD0398</v>
      </c>
      <c r="B400" s="12">
        <v>46420</v>
      </c>
      <c r="C400" t="s">
        <v>21</v>
      </c>
      <c r="D400" t="s">
        <v>22</v>
      </c>
      <c r="E400">
        <v>2</v>
      </c>
      <c r="F400" s="2">
        <v>1000</v>
      </c>
      <c r="G400">
        <f>E400*F400</f>
        <v>2000</v>
      </c>
      <c r="H400" t="s">
        <v>30</v>
      </c>
      <c r="I400" t="s">
        <v>63</v>
      </c>
    </row>
    <row r="401" spans="1:9" x14ac:dyDescent="0.35">
      <c r="A401" t="str">
        <f>"ORD"&amp;TEXT(ROW()-2,"0000")</f>
        <v>ORD0399</v>
      </c>
      <c r="B401" s="12">
        <v>46421</v>
      </c>
      <c r="C401" t="s">
        <v>60</v>
      </c>
      <c r="D401" t="s">
        <v>38</v>
      </c>
      <c r="E401">
        <v>9</v>
      </c>
      <c r="F401" s="2">
        <v>2000</v>
      </c>
      <c r="G401">
        <f>E401*F401</f>
        <v>18000</v>
      </c>
      <c r="H401" t="s">
        <v>43</v>
      </c>
      <c r="I401" t="s">
        <v>31</v>
      </c>
    </row>
    <row r="402" spans="1:9" x14ac:dyDescent="0.35">
      <c r="A402" t="str">
        <f>"ORD"&amp;TEXT(ROW()-2,"0000")</f>
        <v>ORD0400</v>
      </c>
      <c r="B402" s="12">
        <v>46422</v>
      </c>
      <c r="C402" t="s">
        <v>34</v>
      </c>
      <c r="D402" t="s">
        <v>29</v>
      </c>
      <c r="E402">
        <v>2</v>
      </c>
      <c r="F402" s="2">
        <v>5500</v>
      </c>
      <c r="G402">
        <f>E402*F402</f>
        <v>11000</v>
      </c>
      <c r="H402" t="s">
        <v>30</v>
      </c>
      <c r="I402" t="s">
        <v>40</v>
      </c>
    </row>
    <row r="403" spans="1:9" x14ac:dyDescent="0.35">
      <c r="A403" t="str">
        <f>"ORD"&amp;TEXT(ROW()-2,"0000")</f>
        <v>ORD0401</v>
      </c>
      <c r="B403" s="12">
        <v>46423</v>
      </c>
      <c r="C403" t="s">
        <v>11</v>
      </c>
      <c r="D403" t="s">
        <v>12</v>
      </c>
      <c r="E403">
        <v>10</v>
      </c>
      <c r="F403" s="2">
        <v>1800</v>
      </c>
      <c r="G403">
        <f>E403*F403</f>
        <v>18000</v>
      </c>
      <c r="H403" t="s">
        <v>79</v>
      </c>
      <c r="I403" t="s">
        <v>66</v>
      </c>
    </row>
    <row r="404" spans="1:9" x14ac:dyDescent="0.35">
      <c r="A404" t="str">
        <f>"ORD"&amp;TEXT(ROW()-2,"0000")</f>
        <v>ORD0402</v>
      </c>
      <c r="B404" s="12">
        <v>46424</v>
      </c>
      <c r="C404" t="s">
        <v>28</v>
      </c>
      <c r="D404" t="s">
        <v>29</v>
      </c>
      <c r="E404">
        <v>10</v>
      </c>
      <c r="F404" s="2">
        <v>1500</v>
      </c>
      <c r="G404">
        <f>E404*F404</f>
        <v>15000</v>
      </c>
      <c r="H404" t="s">
        <v>18</v>
      </c>
      <c r="I404" t="s">
        <v>25</v>
      </c>
    </row>
    <row r="405" spans="1:9" x14ac:dyDescent="0.35">
      <c r="A405" t="str">
        <f>"ORD"&amp;TEXT(ROW()-2,"0000")</f>
        <v>ORD0403</v>
      </c>
      <c r="B405" s="12">
        <v>46425</v>
      </c>
      <c r="C405" t="s">
        <v>28</v>
      </c>
      <c r="D405" t="s">
        <v>29</v>
      </c>
      <c r="E405">
        <v>13</v>
      </c>
      <c r="F405" s="2" t="s">
        <v>203</v>
      </c>
      <c r="G405">
        <f>E405*F405</f>
        <v>19500</v>
      </c>
      <c r="H405" t="s">
        <v>47</v>
      </c>
      <c r="I405" t="s">
        <v>66</v>
      </c>
    </row>
    <row r="406" spans="1:9" x14ac:dyDescent="0.35">
      <c r="A406" t="str">
        <f>"ORD"&amp;TEXT(ROW()-2,"0000")</f>
        <v>ORD0404</v>
      </c>
      <c r="B406" s="12">
        <v>46426</v>
      </c>
      <c r="C406" t="s">
        <v>28</v>
      </c>
      <c r="D406" t="s">
        <v>29</v>
      </c>
      <c r="E406">
        <v>0</v>
      </c>
      <c r="F406" s="2">
        <v>1500</v>
      </c>
      <c r="G406">
        <f>E406*F406</f>
        <v>0</v>
      </c>
      <c r="H406" t="s">
        <v>18</v>
      </c>
      <c r="I406" t="s">
        <v>107</v>
      </c>
    </row>
    <row r="407" spans="1:9" x14ac:dyDescent="0.35">
      <c r="A407" t="str">
        <f>"ORD"&amp;TEXT(ROW()-2,"0000")</f>
        <v>ORD0405</v>
      </c>
      <c r="B407" s="12">
        <v>46427</v>
      </c>
      <c r="C407" t="s">
        <v>28</v>
      </c>
      <c r="D407" t="s">
        <v>29</v>
      </c>
      <c r="E407">
        <v>10</v>
      </c>
      <c r="F407" s="2">
        <v>1500</v>
      </c>
      <c r="G407">
        <f>E407*F407</f>
        <v>15000</v>
      </c>
      <c r="H407" t="s">
        <v>24</v>
      </c>
      <c r="I407" t="s">
        <v>66</v>
      </c>
    </row>
    <row r="408" spans="1:9" x14ac:dyDescent="0.35">
      <c r="A408" t="str">
        <f>"ORD"&amp;TEXT(ROW()-2,"0000")</f>
        <v>ORD0406</v>
      </c>
      <c r="B408" s="12">
        <v>46428</v>
      </c>
      <c r="C408" t="s">
        <v>21</v>
      </c>
      <c r="D408" t="s">
        <v>22</v>
      </c>
      <c r="E408">
        <v>3</v>
      </c>
      <c r="F408" s="2">
        <v>1000</v>
      </c>
      <c r="G408">
        <f>E408*F408</f>
        <v>3000</v>
      </c>
      <c r="H408" t="s">
        <v>43</v>
      </c>
      <c r="I408" t="s">
        <v>76</v>
      </c>
    </row>
    <row r="409" spans="1:9" x14ac:dyDescent="0.35">
      <c r="A409" t="str">
        <f>"ORD"&amp;TEXT(ROW()-2,"0000")</f>
        <v>ORD0407</v>
      </c>
      <c r="B409" s="12">
        <v>46429</v>
      </c>
      <c r="C409" t="s">
        <v>60</v>
      </c>
      <c r="D409" t="s">
        <v>38</v>
      </c>
      <c r="E409">
        <v>12</v>
      </c>
      <c r="F409" s="2">
        <v>2000</v>
      </c>
      <c r="G409">
        <f>E409*F409</f>
        <v>24000</v>
      </c>
      <c r="H409" t="s">
        <v>24</v>
      </c>
      <c r="I409" t="s">
        <v>54</v>
      </c>
    </row>
    <row r="410" spans="1:9" x14ac:dyDescent="0.35">
      <c r="A410" t="str">
        <f>"ORD"&amp;TEXT(ROW()-2,"0000")</f>
        <v>ORD0408</v>
      </c>
      <c r="B410" s="12">
        <v>46430</v>
      </c>
      <c r="C410" t="s">
        <v>34</v>
      </c>
      <c r="D410" t="s">
        <v>29</v>
      </c>
      <c r="E410">
        <v>4</v>
      </c>
      <c r="F410" s="2">
        <v>5500</v>
      </c>
      <c r="G410">
        <f>E410*F410</f>
        <v>22000</v>
      </c>
      <c r="H410" t="s">
        <v>47</v>
      </c>
      <c r="I410" t="s">
        <v>107</v>
      </c>
    </row>
    <row r="411" spans="1:9" x14ac:dyDescent="0.35">
      <c r="A411" t="str">
        <f>"ORD"&amp;TEXT(ROW()-2,"0000")</f>
        <v>ORD0409</v>
      </c>
      <c r="B411" s="12">
        <v>46431</v>
      </c>
      <c r="C411" t="s">
        <v>60</v>
      </c>
      <c r="D411" t="s">
        <v>38</v>
      </c>
      <c r="E411">
        <v>2</v>
      </c>
      <c r="F411" s="2">
        <v>2000</v>
      </c>
      <c r="G411">
        <f>E411*F411</f>
        <v>4000</v>
      </c>
      <c r="H411" t="s">
        <v>18</v>
      </c>
      <c r="I411" t="s">
        <v>54</v>
      </c>
    </row>
    <row r="412" spans="1:9" x14ac:dyDescent="0.35">
      <c r="A412" t="str">
        <f>"ORD"&amp;TEXT(ROW()-2,"0000")</f>
        <v>ORD0410</v>
      </c>
      <c r="B412" s="12">
        <v>46432</v>
      </c>
      <c r="C412" t="s">
        <v>17</v>
      </c>
      <c r="D412" t="s">
        <v>12</v>
      </c>
      <c r="E412">
        <v>9</v>
      </c>
      <c r="F412" s="2">
        <v>3000</v>
      </c>
      <c r="G412">
        <f>E412*F412</f>
        <v>27000</v>
      </c>
      <c r="H412" t="s">
        <v>72</v>
      </c>
      <c r="I412" t="s">
        <v>54</v>
      </c>
    </row>
    <row r="413" spans="1:9" x14ac:dyDescent="0.35">
      <c r="A413" t="str">
        <f>"ORD"&amp;TEXT(ROW()-2,"0000")</f>
        <v>ORD0411</v>
      </c>
      <c r="B413" s="12">
        <v>46433</v>
      </c>
      <c r="C413" t="s">
        <v>89</v>
      </c>
      <c r="D413" t="s">
        <v>90</v>
      </c>
      <c r="E413">
        <v>10</v>
      </c>
      <c r="F413" s="2">
        <v>1200</v>
      </c>
      <c r="G413">
        <f>E413*F413</f>
        <v>12000</v>
      </c>
      <c r="H413" t="s">
        <v>24</v>
      </c>
      <c r="I413" t="s">
        <v>936</v>
      </c>
    </row>
    <row r="414" spans="1:9" x14ac:dyDescent="0.35">
      <c r="A414" t="str">
        <f>"ORD"&amp;TEXT(ROW()-2,"0000")</f>
        <v>ORD0412</v>
      </c>
      <c r="B414" s="12">
        <v>46434</v>
      </c>
      <c r="C414" t="s">
        <v>50</v>
      </c>
      <c r="D414" t="s">
        <v>12</v>
      </c>
      <c r="E414">
        <v>0</v>
      </c>
      <c r="F414" s="2">
        <v>2500</v>
      </c>
      <c r="G414">
        <f>E414*F414</f>
        <v>0</v>
      </c>
      <c r="H414" t="s">
        <v>18</v>
      </c>
      <c r="I414" t="s">
        <v>40</v>
      </c>
    </row>
    <row r="415" spans="1:9" x14ac:dyDescent="0.35">
      <c r="A415" t="str">
        <f>"ORD"&amp;TEXT(ROW()-2,"0000")</f>
        <v>ORD0413</v>
      </c>
      <c r="B415" s="12">
        <v>46435</v>
      </c>
      <c r="C415" t="s">
        <v>60</v>
      </c>
      <c r="D415" t="s">
        <v>38</v>
      </c>
      <c r="E415">
        <v>13</v>
      </c>
      <c r="F415" s="2">
        <v>2000</v>
      </c>
      <c r="G415">
        <f>E415*F415</f>
        <v>26000</v>
      </c>
      <c r="H415" t="s">
        <v>18</v>
      </c>
      <c r="I415" t="s">
        <v>63</v>
      </c>
    </row>
    <row r="416" spans="1:9" x14ac:dyDescent="0.35">
      <c r="A416" t="str">
        <f>"ORD"&amp;TEXT(ROW()-2,"0000")</f>
        <v>ORD0414</v>
      </c>
      <c r="B416" s="12">
        <v>46436</v>
      </c>
      <c r="C416" t="s">
        <v>34</v>
      </c>
      <c r="D416" t="s">
        <v>29</v>
      </c>
      <c r="E416">
        <v>8</v>
      </c>
      <c r="F416" s="2">
        <v>5500</v>
      </c>
      <c r="G416">
        <f>E416*F416</f>
        <v>44000</v>
      </c>
      <c r="H416" t="s">
        <v>53</v>
      </c>
      <c r="I416" t="s">
        <v>76</v>
      </c>
    </row>
    <row r="417" spans="1:9" x14ac:dyDescent="0.35">
      <c r="A417" t="str">
        <f>"ORD"&amp;TEXT(ROW()-2,"0000")</f>
        <v>ORD0415</v>
      </c>
      <c r="B417" s="12">
        <v>46437</v>
      </c>
      <c r="C417" t="s">
        <v>28</v>
      </c>
      <c r="D417" t="s">
        <v>29</v>
      </c>
      <c r="E417">
        <v>7</v>
      </c>
      <c r="F417" s="2">
        <v>1500</v>
      </c>
      <c r="G417">
        <f>E417*F417</f>
        <v>10500</v>
      </c>
      <c r="H417" t="s">
        <v>30</v>
      </c>
      <c r="I417" t="s">
        <v>73</v>
      </c>
    </row>
    <row r="418" spans="1:9" x14ac:dyDescent="0.35">
      <c r="A418" t="str">
        <f>"ORD"&amp;TEXT(ROW()-2,"0000")</f>
        <v>ORD0416</v>
      </c>
      <c r="B418" s="12">
        <v>46438</v>
      </c>
      <c r="C418" t="s">
        <v>34</v>
      </c>
      <c r="D418" t="s">
        <v>29</v>
      </c>
      <c r="E418">
        <v>4</v>
      </c>
      <c r="F418" s="2">
        <v>5500</v>
      </c>
      <c r="G418">
        <f>E418*F418</f>
        <v>22000</v>
      </c>
      <c r="H418" t="s">
        <v>79</v>
      </c>
      <c r="I418" t="s">
        <v>31</v>
      </c>
    </row>
    <row r="419" spans="1:9" x14ac:dyDescent="0.35">
      <c r="A419" t="str">
        <f>"ORD"&amp;TEXT(ROW()-2,"0000")</f>
        <v>ORD0417</v>
      </c>
      <c r="B419" s="12">
        <v>46439</v>
      </c>
      <c r="C419" t="s">
        <v>21</v>
      </c>
      <c r="D419" t="s">
        <v>22</v>
      </c>
      <c r="E419">
        <v>9</v>
      </c>
      <c r="F419" s="2">
        <v>1000</v>
      </c>
      <c r="G419">
        <f>E419*F419</f>
        <v>9000</v>
      </c>
      <c r="H419" t="s">
        <v>103</v>
      </c>
      <c r="I419" t="s">
        <v>76</v>
      </c>
    </row>
    <row r="420" spans="1:9" x14ac:dyDescent="0.35">
      <c r="A420" t="str">
        <f>"ORD"&amp;TEXT(ROW()-2,"0000")</f>
        <v>ORD0418</v>
      </c>
      <c r="B420" s="12">
        <v>46440</v>
      </c>
      <c r="C420" t="s">
        <v>89</v>
      </c>
      <c r="D420" t="s">
        <v>90</v>
      </c>
      <c r="E420">
        <v>7</v>
      </c>
      <c r="F420" s="2">
        <v>1200</v>
      </c>
      <c r="G420">
        <f>E420*F420</f>
        <v>8400</v>
      </c>
      <c r="H420" t="s">
        <v>53</v>
      </c>
      <c r="I420" t="s">
        <v>54</v>
      </c>
    </row>
    <row r="421" spans="1:9" x14ac:dyDescent="0.35">
      <c r="A421" t="str">
        <f>"ORD"&amp;TEXT(ROW()-2,"0000")</f>
        <v>ORD0419</v>
      </c>
      <c r="B421" s="12">
        <v>46441</v>
      </c>
      <c r="C421" t="s">
        <v>28</v>
      </c>
      <c r="D421" t="s">
        <v>29</v>
      </c>
      <c r="E421">
        <v>12</v>
      </c>
      <c r="F421" s="2" t="s">
        <v>203</v>
      </c>
      <c r="G421">
        <f>E421*F421</f>
        <v>18000</v>
      </c>
      <c r="H421" t="s">
        <v>24</v>
      </c>
      <c r="I421" t="s">
        <v>14</v>
      </c>
    </row>
    <row r="422" spans="1:9" x14ac:dyDescent="0.35">
      <c r="A422" t="str">
        <f>"ORD"&amp;TEXT(ROW()-2,"0000")</f>
        <v>ORD0420</v>
      </c>
      <c r="B422" s="12">
        <v>46442</v>
      </c>
      <c r="C422" t="s">
        <v>21</v>
      </c>
      <c r="D422" t="s">
        <v>22</v>
      </c>
      <c r="E422">
        <v>13</v>
      </c>
      <c r="F422" s="2">
        <v>1000</v>
      </c>
      <c r="G422">
        <f>E422*F422</f>
        <v>13000</v>
      </c>
      <c r="H422" t="s">
        <v>39</v>
      </c>
      <c r="I422" t="s">
        <v>14</v>
      </c>
    </row>
    <row r="423" spans="1:9" x14ac:dyDescent="0.35">
      <c r="A423" t="str">
        <f>"ORD"&amp;TEXT(ROW()-2,"0000")</f>
        <v>ORD0421</v>
      </c>
      <c r="B423" s="12">
        <v>46443</v>
      </c>
      <c r="C423" t="s">
        <v>21</v>
      </c>
      <c r="D423" t="s">
        <v>22</v>
      </c>
      <c r="E423">
        <v>10</v>
      </c>
      <c r="F423" s="2">
        <v>1000</v>
      </c>
      <c r="G423">
        <f>E423*F423</f>
        <v>10000</v>
      </c>
      <c r="H423" t="s">
        <v>72</v>
      </c>
      <c r="I423" t="s">
        <v>14</v>
      </c>
    </row>
    <row r="424" spans="1:9" x14ac:dyDescent="0.35">
      <c r="A424" t="str">
        <f>"ORD"&amp;TEXT(ROW()-2,"0000")</f>
        <v>ORD0422</v>
      </c>
      <c r="B424" s="12">
        <v>46444</v>
      </c>
      <c r="C424" t="s">
        <v>28</v>
      </c>
      <c r="D424" t="s">
        <v>29</v>
      </c>
      <c r="E424">
        <v>3</v>
      </c>
      <c r="F424" s="2">
        <v>1500</v>
      </c>
      <c r="G424">
        <f>E424*F424</f>
        <v>4500</v>
      </c>
      <c r="H424" t="s">
        <v>24</v>
      </c>
      <c r="I424" t="s">
        <v>31</v>
      </c>
    </row>
    <row r="425" spans="1:9" x14ac:dyDescent="0.35">
      <c r="A425" t="str">
        <f>"ORD"&amp;TEXT(ROW()-2,"0000")</f>
        <v>ORD0423</v>
      </c>
      <c r="B425" s="12">
        <v>46445</v>
      </c>
      <c r="C425" t="s">
        <v>60</v>
      </c>
      <c r="D425" t="s">
        <v>38</v>
      </c>
      <c r="E425">
        <v>13</v>
      </c>
      <c r="F425" s="2">
        <v>2000</v>
      </c>
      <c r="G425">
        <f>E425*F425</f>
        <v>26000</v>
      </c>
      <c r="H425" t="s">
        <v>72</v>
      </c>
      <c r="I425" t="s">
        <v>63</v>
      </c>
    </row>
    <row r="426" spans="1:9" x14ac:dyDescent="0.35">
      <c r="A426" t="str">
        <f>"ORD"&amp;TEXT(ROW()-2,"0000")</f>
        <v>ORD0424</v>
      </c>
      <c r="B426" s="12">
        <v>46446</v>
      </c>
      <c r="C426" t="s">
        <v>28</v>
      </c>
      <c r="D426" t="s">
        <v>29</v>
      </c>
      <c r="E426">
        <v>5</v>
      </c>
      <c r="F426" s="2">
        <v>1500</v>
      </c>
      <c r="G426">
        <f>E426*F426</f>
        <v>7500</v>
      </c>
      <c r="H426" t="s">
        <v>72</v>
      </c>
      <c r="I426" t="s">
        <v>73</v>
      </c>
    </row>
    <row r="427" spans="1:9" x14ac:dyDescent="0.35">
      <c r="A427" t="str">
        <f>"ORD"&amp;TEXT(ROW()-2,"0000")</f>
        <v>ORD0425</v>
      </c>
      <c r="B427" s="12">
        <v>46447</v>
      </c>
      <c r="C427" t="s">
        <v>34</v>
      </c>
      <c r="D427" t="s">
        <v>29</v>
      </c>
      <c r="E427">
        <v>6</v>
      </c>
      <c r="F427" s="2">
        <v>5500</v>
      </c>
      <c r="G427">
        <f>E427*F427</f>
        <v>33000</v>
      </c>
      <c r="H427" t="s">
        <v>79</v>
      </c>
      <c r="I427" t="s">
        <v>107</v>
      </c>
    </row>
    <row r="428" spans="1:9" x14ac:dyDescent="0.35">
      <c r="A428" t="str">
        <f>"ORD"&amp;TEXT(ROW()-2,"0000")</f>
        <v>ORD0426</v>
      </c>
      <c r="B428" s="12">
        <v>46448</v>
      </c>
      <c r="C428" t="s">
        <v>21</v>
      </c>
      <c r="D428" t="s">
        <v>22</v>
      </c>
      <c r="E428">
        <v>10</v>
      </c>
      <c r="F428" s="2">
        <v>1000</v>
      </c>
      <c r="G428">
        <f>E428*F428</f>
        <v>10000</v>
      </c>
      <c r="H428" t="s">
        <v>47</v>
      </c>
      <c r="I428" t="s">
        <v>936</v>
      </c>
    </row>
    <row r="429" spans="1:9" x14ac:dyDescent="0.35">
      <c r="A429" t="str">
        <f>"ORD"&amp;TEXT(ROW()-2,"0000")</f>
        <v>ORD0427</v>
      </c>
      <c r="B429" s="12">
        <v>46449</v>
      </c>
      <c r="C429" t="s">
        <v>21</v>
      </c>
      <c r="D429" t="s">
        <v>22</v>
      </c>
      <c r="E429">
        <v>13</v>
      </c>
      <c r="F429" s="2">
        <v>1000</v>
      </c>
      <c r="G429">
        <f>E429*F429</f>
        <v>13000</v>
      </c>
      <c r="H429" t="s">
        <v>43</v>
      </c>
      <c r="I429" t="s">
        <v>66</v>
      </c>
    </row>
    <row r="430" spans="1:9" x14ac:dyDescent="0.35">
      <c r="A430" t="str">
        <f>"ORD"&amp;TEXT(ROW()-2,"0000")</f>
        <v>ORD0428</v>
      </c>
      <c r="B430" s="12">
        <v>46450</v>
      </c>
      <c r="C430" t="s">
        <v>17</v>
      </c>
      <c r="D430" t="s">
        <v>12</v>
      </c>
      <c r="E430">
        <v>7</v>
      </c>
      <c r="F430" s="2">
        <v>3000</v>
      </c>
      <c r="G430">
        <f>E430*F430</f>
        <v>21000</v>
      </c>
      <c r="H430" t="s">
        <v>53</v>
      </c>
      <c r="I430" t="s">
        <v>63</v>
      </c>
    </row>
    <row r="431" spans="1:9" x14ac:dyDescent="0.35">
      <c r="A431" t="str">
        <f>"ORD"&amp;TEXT(ROW()-2,"0000")</f>
        <v>ORD0429</v>
      </c>
      <c r="B431" s="12">
        <v>46451</v>
      </c>
      <c r="C431" t="s">
        <v>34</v>
      </c>
      <c r="D431" t="s">
        <v>29</v>
      </c>
      <c r="E431">
        <v>8</v>
      </c>
      <c r="F431" s="2">
        <v>5500</v>
      </c>
      <c r="G431">
        <f>E431*F431</f>
        <v>44000</v>
      </c>
      <c r="H431" t="s">
        <v>39</v>
      </c>
      <c r="I431" t="s">
        <v>63</v>
      </c>
    </row>
    <row r="432" spans="1:9" x14ac:dyDescent="0.35">
      <c r="A432" t="str">
        <f>"ORD"&amp;TEXT(ROW()-2,"0000")</f>
        <v>ORD0430</v>
      </c>
      <c r="B432" s="12">
        <v>46452</v>
      </c>
      <c r="C432" t="s">
        <v>50</v>
      </c>
      <c r="D432" t="s">
        <v>12</v>
      </c>
      <c r="E432">
        <v>0</v>
      </c>
      <c r="F432" s="2">
        <v>2500</v>
      </c>
      <c r="G432">
        <f>E432*F432</f>
        <v>0</v>
      </c>
      <c r="H432" t="s">
        <v>123</v>
      </c>
      <c r="I432" t="s">
        <v>14</v>
      </c>
    </row>
    <row r="433" spans="1:9" x14ac:dyDescent="0.35">
      <c r="A433" t="str">
        <f>"ORD"&amp;TEXT(ROW()-2,"0000")</f>
        <v>ORD0431</v>
      </c>
      <c r="B433" s="12">
        <v>46453</v>
      </c>
      <c r="C433" t="s">
        <v>28</v>
      </c>
      <c r="D433" t="s">
        <v>29</v>
      </c>
      <c r="E433">
        <v>14</v>
      </c>
      <c r="F433" s="2">
        <v>1500</v>
      </c>
      <c r="G433">
        <f>E433*F433</f>
        <v>21000</v>
      </c>
      <c r="H433" t="s">
        <v>24</v>
      </c>
      <c r="I433" t="s">
        <v>31</v>
      </c>
    </row>
    <row r="434" spans="1:9" x14ac:dyDescent="0.35">
      <c r="A434" t="str">
        <f>"ORD"&amp;TEXT(ROW()-2,"0000")</f>
        <v>ORD0432</v>
      </c>
      <c r="B434" s="12">
        <v>46454</v>
      </c>
      <c r="C434" t="s">
        <v>21</v>
      </c>
      <c r="D434" t="s">
        <v>22</v>
      </c>
      <c r="E434">
        <v>4</v>
      </c>
      <c r="F434" s="2">
        <v>1000</v>
      </c>
      <c r="G434">
        <f>E434*F434</f>
        <v>4000</v>
      </c>
      <c r="H434" t="s">
        <v>103</v>
      </c>
      <c r="I434" t="s">
        <v>54</v>
      </c>
    </row>
    <row r="435" spans="1:9" x14ac:dyDescent="0.35">
      <c r="A435" t="str">
        <f>"ORD"&amp;TEXT(ROW()-2,"0000")</f>
        <v>ORD0433</v>
      </c>
      <c r="B435" s="12">
        <v>46455</v>
      </c>
      <c r="C435" t="s">
        <v>89</v>
      </c>
      <c r="D435" t="s">
        <v>90</v>
      </c>
      <c r="E435">
        <v>14</v>
      </c>
      <c r="F435" s="2">
        <v>1200</v>
      </c>
      <c r="G435">
        <f>E435*F435</f>
        <v>16800</v>
      </c>
      <c r="H435" t="s">
        <v>103</v>
      </c>
      <c r="I435" t="s">
        <v>25</v>
      </c>
    </row>
    <row r="436" spans="1:9" x14ac:dyDescent="0.35">
      <c r="A436" t="str">
        <f>"ORD"&amp;TEXT(ROW()-2,"0000")</f>
        <v>ORD0434</v>
      </c>
      <c r="B436" s="12">
        <v>46456</v>
      </c>
      <c r="C436" t="s">
        <v>17</v>
      </c>
      <c r="D436" t="s">
        <v>12</v>
      </c>
      <c r="E436">
        <v>7</v>
      </c>
      <c r="F436" s="2">
        <v>3000</v>
      </c>
      <c r="G436">
        <f>E436*F436</f>
        <v>21000</v>
      </c>
      <c r="H436" t="s">
        <v>53</v>
      </c>
      <c r="I436" t="s">
        <v>31</v>
      </c>
    </row>
    <row r="437" spans="1:9" x14ac:dyDescent="0.35">
      <c r="A437" t="str">
        <f>"ORD"&amp;TEXT(ROW()-2,"0000")</f>
        <v>ORD0435</v>
      </c>
      <c r="B437" s="12">
        <v>46457</v>
      </c>
      <c r="C437" t="s">
        <v>34</v>
      </c>
      <c r="D437" t="s">
        <v>29</v>
      </c>
      <c r="E437">
        <v>5</v>
      </c>
      <c r="F437" s="2" t="s">
        <v>69</v>
      </c>
      <c r="G437">
        <f>E437*F437</f>
        <v>27500</v>
      </c>
      <c r="H437" t="s">
        <v>43</v>
      </c>
      <c r="I437" t="s">
        <v>25</v>
      </c>
    </row>
    <row r="438" spans="1:9" x14ac:dyDescent="0.35">
      <c r="A438" t="str">
        <f>"ORD"&amp;TEXT(ROW()-2,"0000")</f>
        <v>ORD0436</v>
      </c>
      <c r="B438" s="12">
        <v>46458</v>
      </c>
      <c r="C438" t="s">
        <v>34</v>
      </c>
      <c r="D438" t="s">
        <v>29</v>
      </c>
      <c r="E438">
        <v>5</v>
      </c>
      <c r="F438" s="2">
        <v>5500</v>
      </c>
      <c r="G438">
        <f>E438*F438</f>
        <v>27500</v>
      </c>
      <c r="H438" t="s">
        <v>30</v>
      </c>
      <c r="I438" t="s">
        <v>14</v>
      </c>
    </row>
    <row r="439" spans="1:9" x14ac:dyDescent="0.35">
      <c r="A439" t="str">
        <f>"ORD"&amp;TEXT(ROW()-2,"0000")</f>
        <v>ORD0437</v>
      </c>
      <c r="B439" s="12">
        <v>46459</v>
      </c>
      <c r="C439" t="s">
        <v>28</v>
      </c>
      <c r="D439" t="s">
        <v>29</v>
      </c>
      <c r="E439">
        <v>8</v>
      </c>
      <c r="F439" s="2">
        <v>1500</v>
      </c>
      <c r="G439">
        <f>E439*F439</f>
        <v>12000</v>
      </c>
      <c r="H439" t="s">
        <v>53</v>
      </c>
      <c r="I439" t="s">
        <v>25</v>
      </c>
    </row>
    <row r="440" spans="1:9" x14ac:dyDescent="0.35">
      <c r="A440" t="str">
        <f>"ORD"&amp;TEXT(ROW()-2,"0000")</f>
        <v>ORD0438</v>
      </c>
      <c r="B440" s="12">
        <v>46460</v>
      </c>
      <c r="C440" t="s">
        <v>89</v>
      </c>
      <c r="D440" t="s">
        <v>90</v>
      </c>
      <c r="E440">
        <v>4</v>
      </c>
      <c r="F440" s="2">
        <v>1200</v>
      </c>
      <c r="G440">
        <f>E440*F440</f>
        <v>4800</v>
      </c>
      <c r="H440" t="s">
        <v>30</v>
      </c>
      <c r="I440" t="s">
        <v>936</v>
      </c>
    </row>
    <row r="441" spans="1:9" x14ac:dyDescent="0.35">
      <c r="A441" t="str">
        <f>"ORD"&amp;TEXT(ROW()-2,"0000")</f>
        <v>ORD0439</v>
      </c>
      <c r="B441" s="12">
        <v>46461</v>
      </c>
      <c r="C441" t="s">
        <v>17</v>
      </c>
      <c r="D441" t="s">
        <v>12</v>
      </c>
      <c r="E441">
        <v>9</v>
      </c>
      <c r="F441" s="2">
        <v>3000</v>
      </c>
      <c r="G441">
        <f>E441*F441</f>
        <v>27000</v>
      </c>
      <c r="H441" t="s">
        <v>24</v>
      </c>
      <c r="I441" t="s">
        <v>73</v>
      </c>
    </row>
    <row r="442" spans="1:9" x14ac:dyDescent="0.35">
      <c r="A442" t="str">
        <f>"ORD"&amp;TEXT(ROW()-2,"0000")</f>
        <v>ORD0440</v>
      </c>
      <c r="B442" s="12">
        <v>46462</v>
      </c>
      <c r="C442" t="s">
        <v>60</v>
      </c>
      <c r="D442" t="s">
        <v>38</v>
      </c>
      <c r="E442">
        <v>3</v>
      </c>
      <c r="F442" s="2">
        <v>2000</v>
      </c>
      <c r="G442">
        <f>E442*F442</f>
        <v>6000</v>
      </c>
      <c r="H442" t="s">
        <v>39</v>
      </c>
      <c r="I442" t="s">
        <v>76</v>
      </c>
    </row>
    <row r="443" spans="1:9" x14ac:dyDescent="0.35">
      <c r="A443" t="str">
        <f>"ORD"&amp;TEXT(ROW()-2,"0000")</f>
        <v>ORD0441</v>
      </c>
      <c r="B443" s="12">
        <v>46463</v>
      </c>
      <c r="C443" t="s">
        <v>34</v>
      </c>
      <c r="D443" t="s">
        <v>29</v>
      </c>
      <c r="E443">
        <v>7</v>
      </c>
      <c r="F443" s="2">
        <v>5500</v>
      </c>
      <c r="G443">
        <f>E443*F443</f>
        <v>38500</v>
      </c>
      <c r="H443" t="s">
        <v>47</v>
      </c>
      <c r="I443" t="s">
        <v>40</v>
      </c>
    </row>
    <row r="444" spans="1:9" x14ac:dyDescent="0.35">
      <c r="A444" t="str">
        <f>"ORD"&amp;TEXT(ROW()-2,"0000")</f>
        <v>ORD0442</v>
      </c>
      <c r="B444" s="12">
        <v>46464</v>
      </c>
      <c r="C444" t="s">
        <v>11</v>
      </c>
      <c r="D444" t="s">
        <v>12</v>
      </c>
      <c r="E444">
        <v>11</v>
      </c>
      <c r="F444" s="2">
        <v>1800</v>
      </c>
      <c r="G444">
        <f>E444*F444</f>
        <v>19800</v>
      </c>
      <c r="H444" t="s">
        <v>39</v>
      </c>
      <c r="I444" t="s">
        <v>76</v>
      </c>
    </row>
    <row r="445" spans="1:9" x14ac:dyDescent="0.35">
      <c r="A445" t="str">
        <f>"ORD"&amp;TEXT(ROW()-2,"0000")</f>
        <v>ORD0443</v>
      </c>
      <c r="B445" s="12">
        <v>46465</v>
      </c>
      <c r="C445" t="s">
        <v>89</v>
      </c>
      <c r="D445" t="s">
        <v>90</v>
      </c>
      <c r="E445">
        <v>12</v>
      </c>
      <c r="F445" s="2">
        <v>1200</v>
      </c>
      <c r="G445">
        <f>E445*F445</f>
        <v>14400</v>
      </c>
      <c r="H445" t="s">
        <v>79</v>
      </c>
      <c r="I445" t="s">
        <v>63</v>
      </c>
    </row>
    <row r="446" spans="1:9" x14ac:dyDescent="0.35">
      <c r="A446" t="str">
        <f>"ORD"&amp;TEXT(ROW()-2,"0000")</f>
        <v>ORD0444</v>
      </c>
      <c r="B446" s="12">
        <v>46466</v>
      </c>
      <c r="C446" t="s">
        <v>50</v>
      </c>
      <c r="D446" t="s">
        <v>12</v>
      </c>
      <c r="E446">
        <v>8</v>
      </c>
      <c r="F446" s="2">
        <v>2500</v>
      </c>
      <c r="G446">
        <f>E446*F446</f>
        <v>20000</v>
      </c>
      <c r="H446" t="s">
        <v>47</v>
      </c>
      <c r="I446" t="s">
        <v>63</v>
      </c>
    </row>
    <row r="447" spans="1:9" x14ac:dyDescent="0.35">
      <c r="A447" t="str">
        <f>"ORD"&amp;TEXT(ROW()-2,"0000")</f>
        <v>ORD0445</v>
      </c>
      <c r="B447" s="12">
        <v>46467</v>
      </c>
      <c r="C447" t="s">
        <v>11</v>
      </c>
      <c r="D447" t="s">
        <v>12</v>
      </c>
      <c r="E447">
        <v>7</v>
      </c>
      <c r="F447" s="2">
        <v>1800</v>
      </c>
      <c r="G447">
        <f>E447*F447</f>
        <v>12600</v>
      </c>
      <c r="H447" t="s">
        <v>53</v>
      </c>
      <c r="I447" t="s">
        <v>14</v>
      </c>
    </row>
    <row r="448" spans="1:9" x14ac:dyDescent="0.35">
      <c r="A448" t="str">
        <f>"ORD"&amp;TEXT(ROW()-2,"0000")</f>
        <v>ORD0446</v>
      </c>
      <c r="B448" s="12">
        <v>46468</v>
      </c>
      <c r="C448" t="s">
        <v>34</v>
      </c>
      <c r="D448" t="s">
        <v>29</v>
      </c>
      <c r="E448">
        <v>14</v>
      </c>
      <c r="F448" s="2">
        <v>5500</v>
      </c>
      <c r="G448">
        <f>E448*F448</f>
        <v>77000</v>
      </c>
      <c r="H448" t="s">
        <v>79</v>
      </c>
      <c r="I448" t="s">
        <v>25</v>
      </c>
    </row>
    <row r="449" spans="1:9" x14ac:dyDescent="0.35">
      <c r="A449" t="str">
        <f>"ORD"&amp;TEXT(ROW()-2,"0000")</f>
        <v>ORD0447</v>
      </c>
      <c r="B449" s="12">
        <v>46469</v>
      </c>
      <c r="C449" t="s">
        <v>17</v>
      </c>
      <c r="D449" t="s">
        <v>12</v>
      </c>
      <c r="E449">
        <v>15</v>
      </c>
      <c r="F449" s="2">
        <v>3000</v>
      </c>
      <c r="G449">
        <f>E449*F449</f>
        <v>45000</v>
      </c>
      <c r="H449" t="s">
        <v>43</v>
      </c>
      <c r="I449" t="s">
        <v>66</v>
      </c>
    </row>
    <row r="450" spans="1:9" x14ac:dyDescent="0.35">
      <c r="A450" t="str">
        <f>"ORD"&amp;TEXT(ROW()-2,"0000")</f>
        <v>ORD0448</v>
      </c>
      <c r="B450" s="12">
        <v>46470</v>
      </c>
      <c r="C450" t="s">
        <v>89</v>
      </c>
      <c r="D450" t="s">
        <v>90</v>
      </c>
      <c r="E450">
        <v>4</v>
      </c>
      <c r="F450" s="2">
        <v>1200</v>
      </c>
      <c r="G450">
        <f>E450*F450</f>
        <v>4800</v>
      </c>
      <c r="H450" t="s">
        <v>72</v>
      </c>
      <c r="I450" t="s">
        <v>40</v>
      </c>
    </row>
    <row r="451" spans="1:9" x14ac:dyDescent="0.35">
      <c r="A451" t="str">
        <f>"ORD"&amp;TEXT(ROW()-2,"0000")</f>
        <v>ORD0449</v>
      </c>
      <c r="B451" s="12">
        <v>46471</v>
      </c>
      <c r="C451" t="s">
        <v>60</v>
      </c>
      <c r="D451" t="s">
        <v>38</v>
      </c>
      <c r="E451">
        <v>4</v>
      </c>
      <c r="F451" s="2">
        <v>2000</v>
      </c>
      <c r="G451">
        <f>E451*F451</f>
        <v>8000</v>
      </c>
      <c r="H451" t="s">
        <v>47</v>
      </c>
      <c r="I451" t="s">
        <v>14</v>
      </c>
    </row>
    <row r="452" spans="1:9" x14ac:dyDescent="0.35">
      <c r="A452" t="str">
        <f>"ORD"&amp;TEXT(ROW()-2,"0000")</f>
        <v>ORD0450</v>
      </c>
      <c r="B452" s="12">
        <v>46472</v>
      </c>
      <c r="C452" t="s">
        <v>50</v>
      </c>
      <c r="D452" t="s">
        <v>12</v>
      </c>
      <c r="E452">
        <v>8</v>
      </c>
      <c r="F452" s="2">
        <v>2500</v>
      </c>
      <c r="G452">
        <f>E452*F452</f>
        <v>20000</v>
      </c>
      <c r="H452" t="s">
        <v>53</v>
      </c>
      <c r="I452" t="s">
        <v>40</v>
      </c>
    </row>
    <row r="453" spans="1:9" x14ac:dyDescent="0.35">
      <c r="A453" t="str">
        <f>"ORD"&amp;TEXT(ROW()-2,"0000")</f>
        <v>ORD0451</v>
      </c>
      <c r="B453" s="12">
        <v>46473</v>
      </c>
      <c r="C453" t="s">
        <v>17</v>
      </c>
      <c r="D453" t="s">
        <v>12</v>
      </c>
      <c r="E453">
        <v>6</v>
      </c>
      <c r="F453" s="2" t="s">
        <v>57</v>
      </c>
      <c r="G453">
        <f>E453*F453</f>
        <v>18000</v>
      </c>
      <c r="H453" t="s">
        <v>24</v>
      </c>
      <c r="I453" t="s">
        <v>54</v>
      </c>
    </row>
    <row r="454" spans="1:9" x14ac:dyDescent="0.35">
      <c r="A454" t="str">
        <f>"ORD"&amp;TEXT(ROW()-2,"0000")</f>
        <v>ORD0452</v>
      </c>
      <c r="B454" s="12">
        <v>46474</v>
      </c>
      <c r="C454" t="s">
        <v>60</v>
      </c>
      <c r="D454" t="s">
        <v>38</v>
      </c>
      <c r="E454">
        <v>9</v>
      </c>
      <c r="F454" s="2">
        <v>2000</v>
      </c>
      <c r="G454">
        <f>E454*F454</f>
        <v>18000</v>
      </c>
      <c r="H454" t="s">
        <v>72</v>
      </c>
      <c r="I454" t="s">
        <v>63</v>
      </c>
    </row>
    <row r="455" spans="1:9" x14ac:dyDescent="0.35">
      <c r="A455" t="str">
        <f>"ORD"&amp;TEXT(ROW()-2,"0000")</f>
        <v>ORD0453</v>
      </c>
      <c r="B455" s="12">
        <v>46475</v>
      </c>
      <c r="C455" t="s">
        <v>21</v>
      </c>
      <c r="D455" t="s">
        <v>22</v>
      </c>
      <c r="E455">
        <v>14</v>
      </c>
      <c r="F455" s="2">
        <v>1000</v>
      </c>
      <c r="G455">
        <f>E455*F455</f>
        <v>14000</v>
      </c>
      <c r="H455" t="s">
        <v>47</v>
      </c>
      <c r="I455" t="s">
        <v>63</v>
      </c>
    </row>
    <row r="456" spans="1:9" x14ac:dyDescent="0.35">
      <c r="A456" t="str">
        <f>"ORD"&amp;TEXT(ROW()-2,"0000")</f>
        <v>ORD0454</v>
      </c>
      <c r="B456" s="12">
        <v>46476</v>
      </c>
      <c r="C456" t="s">
        <v>60</v>
      </c>
      <c r="D456" t="s">
        <v>38</v>
      </c>
      <c r="E456">
        <v>6</v>
      </c>
      <c r="F456" s="2">
        <v>2000</v>
      </c>
      <c r="G456">
        <f>E456*F456</f>
        <v>12000</v>
      </c>
      <c r="H456" t="s">
        <v>13</v>
      </c>
      <c r="I456" t="s">
        <v>107</v>
      </c>
    </row>
    <row r="457" spans="1:9" x14ac:dyDescent="0.35">
      <c r="A457" t="str">
        <f>"ORD"&amp;TEXT(ROW()-2,"0000")</f>
        <v>ORD0455</v>
      </c>
      <c r="B457" s="12">
        <v>46477</v>
      </c>
      <c r="C457" t="s">
        <v>11</v>
      </c>
      <c r="D457" t="s">
        <v>12</v>
      </c>
      <c r="E457">
        <v>2</v>
      </c>
      <c r="F457" s="2">
        <v>1800</v>
      </c>
      <c r="G457">
        <f>E457*F457</f>
        <v>3600</v>
      </c>
      <c r="H457" t="s">
        <v>39</v>
      </c>
      <c r="I457" t="s">
        <v>31</v>
      </c>
    </row>
    <row r="458" spans="1:9" x14ac:dyDescent="0.35">
      <c r="A458" t="str">
        <f>"ORD"&amp;TEXT(ROW()-2,"0000")</f>
        <v>ORD0456</v>
      </c>
      <c r="B458" s="12">
        <v>46478</v>
      </c>
      <c r="C458" t="s">
        <v>21</v>
      </c>
      <c r="D458" t="s">
        <v>22</v>
      </c>
      <c r="E458">
        <v>0</v>
      </c>
      <c r="F458" s="2">
        <v>1000</v>
      </c>
      <c r="G458">
        <f>E458*F458</f>
        <v>0</v>
      </c>
      <c r="H458" t="s">
        <v>30</v>
      </c>
      <c r="I458" t="s">
        <v>73</v>
      </c>
    </row>
    <row r="459" spans="1:9" x14ac:dyDescent="0.35">
      <c r="A459" t="str">
        <f>"ORD"&amp;TEXT(ROW()-2,"0000")</f>
        <v>ORD0457</v>
      </c>
      <c r="B459" s="12">
        <v>46479</v>
      </c>
      <c r="C459" t="s">
        <v>50</v>
      </c>
      <c r="D459" t="s">
        <v>12</v>
      </c>
      <c r="E459">
        <v>0</v>
      </c>
      <c r="F459" s="2">
        <v>2500</v>
      </c>
      <c r="G459">
        <f>E459*F459</f>
        <v>0</v>
      </c>
      <c r="H459" t="s">
        <v>24</v>
      </c>
      <c r="I459" t="s">
        <v>63</v>
      </c>
    </row>
    <row r="460" spans="1:9" x14ac:dyDescent="0.35">
      <c r="A460" t="str">
        <f>"ORD"&amp;TEXT(ROW()-2,"0000")</f>
        <v>ORD0458</v>
      </c>
      <c r="B460" s="12">
        <v>46480</v>
      </c>
      <c r="C460" t="s">
        <v>89</v>
      </c>
      <c r="D460" t="s">
        <v>90</v>
      </c>
      <c r="E460">
        <v>12</v>
      </c>
      <c r="F460" s="2">
        <v>1200</v>
      </c>
      <c r="G460">
        <f>E460*F460</f>
        <v>14400</v>
      </c>
      <c r="H460" t="s">
        <v>13</v>
      </c>
      <c r="I460" t="s">
        <v>54</v>
      </c>
    </row>
    <row r="461" spans="1:9" x14ac:dyDescent="0.35">
      <c r="A461" t="str">
        <f>"ORD"&amp;TEXT(ROW()-2,"0000")</f>
        <v>ORD0459</v>
      </c>
      <c r="B461" s="12">
        <v>46481</v>
      </c>
      <c r="C461" t="s">
        <v>60</v>
      </c>
      <c r="D461" t="s">
        <v>38</v>
      </c>
      <c r="E461">
        <v>10</v>
      </c>
      <c r="F461" s="2">
        <v>2000</v>
      </c>
      <c r="G461">
        <f>E461*F461</f>
        <v>20000</v>
      </c>
      <c r="H461" t="s">
        <v>43</v>
      </c>
      <c r="I461" t="s">
        <v>107</v>
      </c>
    </row>
    <row r="462" spans="1:9" x14ac:dyDescent="0.35">
      <c r="A462" t="str">
        <f>"ORD"&amp;TEXT(ROW()-2,"0000")</f>
        <v>ORD0460</v>
      </c>
      <c r="B462" s="12">
        <v>46482</v>
      </c>
      <c r="C462" t="s">
        <v>34</v>
      </c>
      <c r="D462" t="s">
        <v>29</v>
      </c>
      <c r="E462">
        <v>9</v>
      </c>
      <c r="F462" s="2">
        <v>5500</v>
      </c>
      <c r="G462">
        <f>E462*F462</f>
        <v>49500</v>
      </c>
      <c r="H462" t="s">
        <v>39</v>
      </c>
      <c r="I462" t="s">
        <v>40</v>
      </c>
    </row>
    <row r="463" spans="1:9" x14ac:dyDescent="0.35">
      <c r="A463" t="str">
        <f>"ORD"&amp;TEXT(ROW()-2,"0000")</f>
        <v>ORD0461</v>
      </c>
      <c r="B463" s="12">
        <v>46483</v>
      </c>
      <c r="C463" t="s">
        <v>34</v>
      </c>
      <c r="D463" t="s">
        <v>29</v>
      </c>
      <c r="E463">
        <v>5</v>
      </c>
      <c r="F463" s="2">
        <v>5500</v>
      </c>
      <c r="G463">
        <f>E463*F463</f>
        <v>27500</v>
      </c>
      <c r="H463" t="s">
        <v>123</v>
      </c>
      <c r="I463" t="s">
        <v>73</v>
      </c>
    </row>
    <row r="464" spans="1:9" x14ac:dyDescent="0.35">
      <c r="A464" t="str">
        <f>"ORD"&amp;TEXT(ROW()-2,"0000")</f>
        <v>ORD0462</v>
      </c>
      <c r="B464" s="12">
        <v>46484</v>
      </c>
      <c r="C464" t="s">
        <v>60</v>
      </c>
      <c r="D464" t="s">
        <v>38</v>
      </c>
      <c r="E464">
        <v>6</v>
      </c>
      <c r="F464" s="2">
        <v>2000</v>
      </c>
      <c r="G464">
        <f>E464*F464</f>
        <v>12000</v>
      </c>
      <c r="H464" t="s">
        <v>24</v>
      </c>
      <c r="I464" t="s">
        <v>25</v>
      </c>
    </row>
    <row r="465" spans="1:9" x14ac:dyDescent="0.35">
      <c r="A465" t="str">
        <f>"ORD"&amp;TEXT(ROW()-2,"0000")</f>
        <v>ORD0463</v>
      </c>
      <c r="B465" s="12">
        <v>46485</v>
      </c>
      <c r="C465" t="s">
        <v>34</v>
      </c>
      <c r="D465" t="s">
        <v>29</v>
      </c>
      <c r="E465">
        <v>3</v>
      </c>
      <c r="F465" s="2">
        <v>5500</v>
      </c>
      <c r="G465">
        <f>E465*F465</f>
        <v>16500</v>
      </c>
      <c r="H465" t="s">
        <v>72</v>
      </c>
      <c r="I465" t="s">
        <v>40</v>
      </c>
    </row>
    <row r="466" spans="1:9" x14ac:dyDescent="0.35">
      <c r="A466" t="str">
        <f>"ORD"&amp;TEXT(ROW()-2,"0000")</f>
        <v>ORD0464</v>
      </c>
      <c r="B466" s="12">
        <v>46486</v>
      </c>
      <c r="C466" t="s">
        <v>21</v>
      </c>
      <c r="D466" t="s">
        <v>22</v>
      </c>
      <c r="E466">
        <v>11</v>
      </c>
      <c r="F466" s="2">
        <v>1000</v>
      </c>
      <c r="G466">
        <f>E466*F466</f>
        <v>11000</v>
      </c>
      <c r="H466" t="s">
        <v>39</v>
      </c>
      <c r="I466" t="s">
        <v>76</v>
      </c>
    </row>
    <row r="467" spans="1:9" x14ac:dyDescent="0.35">
      <c r="A467" t="str">
        <f>"ORD"&amp;TEXT(ROW()-2,"0000")</f>
        <v>ORD0465</v>
      </c>
      <c r="B467" s="12">
        <v>46487</v>
      </c>
      <c r="C467" t="s">
        <v>21</v>
      </c>
      <c r="D467" t="s">
        <v>22</v>
      </c>
      <c r="E467">
        <v>12</v>
      </c>
      <c r="F467" s="2">
        <v>1000</v>
      </c>
      <c r="G467">
        <f>E467*F467</f>
        <v>12000</v>
      </c>
      <c r="H467" t="s">
        <v>72</v>
      </c>
      <c r="I467" t="s">
        <v>54</v>
      </c>
    </row>
    <row r="468" spans="1:9" x14ac:dyDescent="0.35">
      <c r="A468" t="str">
        <f>"ORD"&amp;TEXT(ROW()-2,"0000")</f>
        <v>ORD0466</v>
      </c>
      <c r="B468" s="12">
        <v>46488</v>
      </c>
      <c r="C468" t="s">
        <v>89</v>
      </c>
      <c r="D468" t="s">
        <v>90</v>
      </c>
      <c r="E468">
        <v>9</v>
      </c>
      <c r="F468" s="2">
        <v>1200</v>
      </c>
      <c r="G468">
        <f>E468*F468</f>
        <v>10800</v>
      </c>
      <c r="H468" t="s">
        <v>24</v>
      </c>
      <c r="I468" t="s">
        <v>63</v>
      </c>
    </row>
    <row r="469" spans="1:9" x14ac:dyDescent="0.35">
      <c r="A469" t="str">
        <f>"ORD"&amp;TEXT(ROW()-2,"0000")</f>
        <v>ORD0467</v>
      </c>
      <c r="B469" s="12">
        <v>46489</v>
      </c>
      <c r="C469" t="s">
        <v>60</v>
      </c>
      <c r="D469" t="s">
        <v>38</v>
      </c>
      <c r="E469">
        <v>4</v>
      </c>
      <c r="F469" s="2">
        <v>2000</v>
      </c>
      <c r="G469">
        <f>E469*F469</f>
        <v>8000</v>
      </c>
      <c r="H469" t="s">
        <v>39</v>
      </c>
      <c r="I469" t="s">
        <v>14</v>
      </c>
    </row>
    <row r="470" spans="1:9" x14ac:dyDescent="0.35">
      <c r="A470" t="str">
        <f>"ORD"&amp;TEXT(ROW()-2,"0000")</f>
        <v>ORD0468</v>
      </c>
      <c r="B470" s="12">
        <v>46490</v>
      </c>
      <c r="C470" t="s">
        <v>34</v>
      </c>
      <c r="D470" t="s">
        <v>29</v>
      </c>
      <c r="E470">
        <v>13</v>
      </c>
      <c r="F470" s="2">
        <v>5500</v>
      </c>
      <c r="G470">
        <f>E470*F470</f>
        <v>71500</v>
      </c>
      <c r="H470" t="s">
        <v>18</v>
      </c>
      <c r="I470" t="s">
        <v>76</v>
      </c>
    </row>
    <row r="471" spans="1:9" x14ac:dyDescent="0.35">
      <c r="A471" t="str">
        <f>"ORD"&amp;TEXT(ROW()-2,"0000")</f>
        <v>ORD0469</v>
      </c>
      <c r="B471" s="12">
        <v>46491</v>
      </c>
      <c r="C471" t="s">
        <v>50</v>
      </c>
      <c r="D471" t="s">
        <v>12</v>
      </c>
      <c r="E471">
        <v>0</v>
      </c>
      <c r="F471" s="2">
        <v>2500</v>
      </c>
      <c r="G471">
        <f>E471*F471</f>
        <v>0</v>
      </c>
      <c r="H471" t="s">
        <v>53</v>
      </c>
      <c r="I471" t="s">
        <v>63</v>
      </c>
    </row>
    <row r="472" spans="1:9" x14ac:dyDescent="0.35">
      <c r="A472" t="str">
        <f>"ORD"&amp;TEXT(ROW()-2,"0000")</f>
        <v>ORD0470</v>
      </c>
      <c r="B472" s="12">
        <v>46492</v>
      </c>
      <c r="C472" t="s">
        <v>34</v>
      </c>
      <c r="D472" t="s">
        <v>29</v>
      </c>
      <c r="E472">
        <v>7</v>
      </c>
      <c r="F472" s="2">
        <v>5500</v>
      </c>
      <c r="G472">
        <f>E472*F472</f>
        <v>38500</v>
      </c>
      <c r="H472" t="s">
        <v>72</v>
      </c>
      <c r="I472" t="s">
        <v>54</v>
      </c>
    </row>
    <row r="473" spans="1:9" x14ac:dyDescent="0.35">
      <c r="A473" t="str">
        <f>"ORD"&amp;TEXT(ROW()-2,"0000")</f>
        <v>ORD0471</v>
      </c>
      <c r="B473" s="12">
        <v>46493</v>
      </c>
      <c r="C473" t="s">
        <v>21</v>
      </c>
      <c r="D473" t="s">
        <v>22</v>
      </c>
      <c r="E473">
        <v>5</v>
      </c>
      <c r="F473" s="2" t="s">
        <v>23</v>
      </c>
      <c r="G473">
        <f>E473*F473</f>
        <v>5000</v>
      </c>
      <c r="H473" t="s">
        <v>24</v>
      </c>
      <c r="I473" t="s">
        <v>107</v>
      </c>
    </row>
    <row r="474" spans="1:9" x14ac:dyDescent="0.35">
      <c r="A474" t="str">
        <f>"ORD"&amp;TEXT(ROW()-2,"0000")</f>
        <v>ORD0472</v>
      </c>
      <c r="B474" s="12">
        <v>46494</v>
      </c>
      <c r="C474" t="s">
        <v>11</v>
      </c>
      <c r="D474" t="s">
        <v>12</v>
      </c>
      <c r="E474">
        <v>14</v>
      </c>
      <c r="F474" s="2">
        <v>1800</v>
      </c>
      <c r="G474">
        <f>E474*F474</f>
        <v>25200</v>
      </c>
      <c r="H474" t="s">
        <v>47</v>
      </c>
      <c r="I474" t="s">
        <v>63</v>
      </c>
    </row>
    <row r="475" spans="1:9" x14ac:dyDescent="0.35">
      <c r="A475" t="str">
        <f>"ORD"&amp;TEXT(ROW()-2,"0000")</f>
        <v>ORD0473</v>
      </c>
      <c r="B475" s="12">
        <v>46495</v>
      </c>
      <c r="C475" t="s">
        <v>60</v>
      </c>
      <c r="D475" t="s">
        <v>38</v>
      </c>
      <c r="E475">
        <v>4</v>
      </c>
      <c r="F475" s="2">
        <v>2000</v>
      </c>
      <c r="G475">
        <f>E475*F475</f>
        <v>8000</v>
      </c>
      <c r="H475" t="s">
        <v>30</v>
      </c>
      <c r="I475" t="s">
        <v>107</v>
      </c>
    </row>
    <row r="476" spans="1:9" x14ac:dyDescent="0.35">
      <c r="A476" t="str">
        <f>"ORD"&amp;TEXT(ROW()-2,"0000")</f>
        <v>ORD0474</v>
      </c>
      <c r="B476" s="12">
        <v>46496</v>
      </c>
      <c r="C476" t="s">
        <v>17</v>
      </c>
      <c r="D476" t="s">
        <v>12</v>
      </c>
      <c r="E476">
        <v>6</v>
      </c>
      <c r="F476" s="2">
        <v>3000</v>
      </c>
      <c r="G476">
        <f>E476*F476</f>
        <v>18000</v>
      </c>
      <c r="H476" t="s">
        <v>79</v>
      </c>
      <c r="I476" t="s">
        <v>76</v>
      </c>
    </row>
    <row r="477" spans="1:9" x14ac:dyDescent="0.35">
      <c r="A477" t="str">
        <f>"ORD"&amp;TEXT(ROW()-2,"0000")</f>
        <v>ORD0475</v>
      </c>
      <c r="B477" s="12">
        <v>46497</v>
      </c>
      <c r="C477" t="s">
        <v>28</v>
      </c>
      <c r="D477" t="s">
        <v>29</v>
      </c>
      <c r="E477">
        <v>10</v>
      </c>
      <c r="F477" s="2">
        <v>1500</v>
      </c>
      <c r="G477">
        <f>E477*F477</f>
        <v>15000</v>
      </c>
      <c r="H477" t="s">
        <v>43</v>
      </c>
      <c r="I477" t="s">
        <v>76</v>
      </c>
    </row>
    <row r="478" spans="1:9" x14ac:dyDescent="0.35">
      <c r="A478" t="str">
        <f>"ORD"&amp;TEXT(ROW()-2,"0000")</f>
        <v>ORD0476</v>
      </c>
      <c r="B478" s="12">
        <v>46498</v>
      </c>
      <c r="C478" t="s">
        <v>21</v>
      </c>
      <c r="D478" t="s">
        <v>22</v>
      </c>
      <c r="E478">
        <v>0</v>
      </c>
      <c r="F478" s="2" t="s">
        <v>23</v>
      </c>
      <c r="G478">
        <f>E478*F478</f>
        <v>0</v>
      </c>
      <c r="H478" t="s">
        <v>43</v>
      </c>
      <c r="I478" t="s">
        <v>66</v>
      </c>
    </row>
    <row r="479" spans="1:9" x14ac:dyDescent="0.35">
      <c r="A479" t="str">
        <f>"ORD"&amp;TEXT(ROW()-2,"0000")</f>
        <v>ORD0477</v>
      </c>
      <c r="B479" s="12">
        <v>46499</v>
      </c>
      <c r="C479" t="s">
        <v>89</v>
      </c>
      <c r="D479" t="s">
        <v>90</v>
      </c>
      <c r="E479">
        <v>11</v>
      </c>
      <c r="F479" s="2" t="s">
        <v>95</v>
      </c>
      <c r="G479">
        <f>E479*F479</f>
        <v>13200</v>
      </c>
      <c r="H479" t="s">
        <v>79</v>
      </c>
      <c r="I479" t="s">
        <v>76</v>
      </c>
    </row>
    <row r="480" spans="1:9" x14ac:dyDescent="0.35">
      <c r="A480" t="str">
        <f>"ORD"&amp;TEXT(ROW()-2,"0000")</f>
        <v>ORD0478</v>
      </c>
      <c r="B480" s="12">
        <v>46500</v>
      </c>
      <c r="C480" t="s">
        <v>34</v>
      </c>
      <c r="D480" t="s">
        <v>29</v>
      </c>
      <c r="E480">
        <v>0</v>
      </c>
      <c r="F480" s="2">
        <v>5500</v>
      </c>
      <c r="G480">
        <f>E480*F480</f>
        <v>0</v>
      </c>
      <c r="H480" t="s">
        <v>43</v>
      </c>
      <c r="I480" t="s">
        <v>14</v>
      </c>
    </row>
    <row r="481" spans="1:9" x14ac:dyDescent="0.35">
      <c r="A481" t="str">
        <f>"ORD"&amp;TEXT(ROW()-2,"0000")</f>
        <v>ORD0479</v>
      </c>
      <c r="B481" s="12">
        <v>46501</v>
      </c>
      <c r="C481" t="s">
        <v>11</v>
      </c>
      <c r="D481" t="s">
        <v>12</v>
      </c>
      <c r="E481">
        <v>12</v>
      </c>
      <c r="F481" s="2">
        <v>1800</v>
      </c>
      <c r="G481">
        <f>E481*F481</f>
        <v>21600</v>
      </c>
      <c r="H481" t="s">
        <v>39</v>
      </c>
      <c r="I481" t="s">
        <v>936</v>
      </c>
    </row>
    <row r="482" spans="1:9" x14ac:dyDescent="0.35">
      <c r="A482" t="str">
        <f>"ORD"&amp;TEXT(ROW()-2,"0000")</f>
        <v>ORD0480</v>
      </c>
      <c r="B482" s="12">
        <v>46502</v>
      </c>
      <c r="C482" t="s">
        <v>50</v>
      </c>
      <c r="D482" t="s">
        <v>12</v>
      </c>
      <c r="E482">
        <v>6</v>
      </c>
      <c r="F482" s="2">
        <v>2500</v>
      </c>
      <c r="G482">
        <f>E482*F482</f>
        <v>15000</v>
      </c>
      <c r="H482" t="s">
        <v>18</v>
      </c>
      <c r="I482" t="s">
        <v>40</v>
      </c>
    </row>
    <row r="483" spans="1:9" x14ac:dyDescent="0.35">
      <c r="A483" t="str">
        <f>"ORD"&amp;TEXT(ROW()-2,"0000")</f>
        <v>ORD0481</v>
      </c>
      <c r="B483" s="12">
        <v>46503</v>
      </c>
      <c r="C483" t="s">
        <v>89</v>
      </c>
      <c r="D483" t="s">
        <v>90</v>
      </c>
      <c r="E483">
        <v>9</v>
      </c>
      <c r="F483" s="2" t="s">
        <v>95</v>
      </c>
      <c r="G483">
        <f>E483*F483</f>
        <v>10800</v>
      </c>
      <c r="H483" t="s">
        <v>39</v>
      </c>
      <c r="I483" t="s">
        <v>40</v>
      </c>
    </row>
    <row r="484" spans="1:9" x14ac:dyDescent="0.35">
      <c r="A484" t="str">
        <f>"ORD"&amp;TEXT(ROW()-2,"0000")</f>
        <v>ORD0482</v>
      </c>
      <c r="B484" s="12">
        <v>46504</v>
      </c>
      <c r="C484" t="s">
        <v>60</v>
      </c>
      <c r="D484" t="s">
        <v>38</v>
      </c>
      <c r="E484">
        <v>7</v>
      </c>
      <c r="F484" s="2">
        <v>2000</v>
      </c>
      <c r="G484">
        <f>E484*F484</f>
        <v>14000</v>
      </c>
      <c r="H484" t="s">
        <v>47</v>
      </c>
      <c r="I484" t="s">
        <v>107</v>
      </c>
    </row>
    <row r="485" spans="1:9" x14ac:dyDescent="0.35">
      <c r="A485" t="str">
        <f>"ORD"&amp;TEXT(ROW()-2,"0000")</f>
        <v>ORD0483</v>
      </c>
      <c r="B485" s="12">
        <v>46505</v>
      </c>
      <c r="C485" t="s">
        <v>17</v>
      </c>
      <c r="D485" t="s">
        <v>12</v>
      </c>
      <c r="E485">
        <v>1</v>
      </c>
      <c r="F485" s="2">
        <v>3000</v>
      </c>
      <c r="G485">
        <f>E485*F485</f>
        <v>3000</v>
      </c>
      <c r="H485" t="s">
        <v>24</v>
      </c>
      <c r="I485" t="s">
        <v>63</v>
      </c>
    </row>
    <row r="486" spans="1:9" x14ac:dyDescent="0.35">
      <c r="A486" t="str">
        <f>"ORD"&amp;TEXT(ROW()-2,"0000")</f>
        <v>ORD0484</v>
      </c>
      <c r="B486" s="12">
        <v>46506</v>
      </c>
      <c r="C486" t="s">
        <v>21</v>
      </c>
      <c r="D486" t="s">
        <v>22</v>
      </c>
      <c r="E486">
        <v>3</v>
      </c>
      <c r="F486" s="2">
        <v>1000</v>
      </c>
      <c r="G486">
        <f>E486*F486</f>
        <v>3000</v>
      </c>
      <c r="H486" t="s">
        <v>47</v>
      </c>
      <c r="I486" t="s">
        <v>107</v>
      </c>
    </row>
    <row r="487" spans="1:9" x14ac:dyDescent="0.35">
      <c r="A487" t="str">
        <f>"ORD"&amp;TEXT(ROW()-2,"0000")</f>
        <v>ORD0485</v>
      </c>
      <c r="B487" s="12">
        <v>46507</v>
      </c>
      <c r="C487" t="s">
        <v>89</v>
      </c>
      <c r="D487" t="s">
        <v>90</v>
      </c>
      <c r="E487">
        <v>6</v>
      </c>
      <c r="F487" s="2">
        <v>1200</v>
      </c>
      <c r="G487">
        <f>E487*F487</f>
        <v>7200</v>
      </c>
      <c r="H487" t="s">
        <v>43</v>
      </c>
      <c r="I487" t="s">
        <v>936</v>
      </c>
    </row>
    <row r="488" spans="1:9" x14ac:dyDescent="0.35">
      <c r="A488" t="str">
        <f>"ORD"&amp;TEXT(ROW()-2,"0000")</f>
        <v>ORD0486</v>
      </c>
      <c r="B488" s="12">
        <v>46508</v>
      </c>
      <c r="C488" t="s">
        <v>28</v>
      </c>
      <c r="D488" t="s">
        <v>29</v>
      </c>
      <c r="E488">
        <v>2</v>
      </c>
      <c r="F488" s="2">
        <v>1500</v>
      </c>
      <c r="G488">
        <f>E488*F488</f>
        <v>3000</v>
      </c>
      <c r="H488" t="s">
        <v>30</v>
      </c>
      <c r="I488" t="s">
        <v>14</v>
      </c>
    </row>
    <row r="489" spans="1:9" x14ac:dyDescent="0.35">
      <c r="A489" t="str">
        <f>"ORD"&amp;TEXT(ROW()-2,"0000")</f>
        <v>ORD0487</v>
      </c>
      <c r="B489" s="12">
        <v>46509</v>
      </c>
      <c r="C489" t="s">
        <v>21</v>
      </c>
      <c r="D489" t="s">
        <v>22</v>
      </c>
      <c r="E489">
        <v>11</v>
      </c>
      <c r="F489" s="2">
        <v>1000</v>
      </c>
      <c r="G489">
        <f>E489*F489</f>
        <v>11000</v>
      </c>
      <c r="H489" t="s">
        <v>30</v>
      </c>
      <c r="I489" t="s">
        <v>40</v>
      </c>
    </row>
    <row r="490" spans="1:9" x14ac:dyDescent="0.35">
      <c r="A490" t="str">
        <f>"ORD"&amp;TEXT(ROW()-2,"0000")</f>
        <v>ORD0488</v>
      </c>
      <c r="B490" s="12">
        <v>46510</v>
      </c>
      <c r="C490" t="s">
        <v>50</v>
      </c>
      <c r="D490" t="s">
        <v>12</v>
      </c>
      <c r="E490">
        <v>1</v>
      </c>
      <c r="F490" s="2">
        <v>2500</v>
      </c>
      <c r="G490">
        <f>E490*F490</f>
        <v>2500</v>
      </c>
      <c r="H490" t="s">
        <v>53</v>
      </c>
      <c r="I490" t="s">
        <v>63</v>
      </c>
    </row>
    <row r="491" spans="1:9" x14ac:dyDescent="0.35">
      <c r="A491" t="str">
        <f>"ORD"&amp;TEXT(ROW()-2,"0000")</f>
        <v>ORD0489</v>
      </c>
      <c r="B491" s="12">
        <v>46511</v>
      </c>
      <c r="C491" t="s">
        <v>17</v>
      </c>
      <c r="D491" t="s">
        <v>12</v>
      </c>
      <c r="E491">
        <v>5</v>
      </c>
      <c r="F491" s="2">
        <v>3000</v>
      </c>
      <c r="G491">
        <f>E491*F491</f>
        <v>15000</v>
      </c>
      <c r="H491" t="s">
        <v>39</v>
      </c>
      <c r="I491" t="s">
        <v>76</v>
      </c>
    </row>
    <row r="492" spans="1:9" x14ac:dyDescent="0.35">
      <c r="A492" t="str">
        <f>"ORD"&amp;TEXT(ROW()-2,"0000")</f>
        <v>ORD0490</v>
      </c>
      <c r="B492" s="12">
        <v>46512</v>
      </c>
      <c r="C492" t="s">
        <v>89</v>
      </c>
      <c r="D492" t="s">
        <v>90</v>
      </c>
      <c r="E492">
        <v>6</v>
      </c>
      <c r="F492" s="2">
        <v>1200</v>
      </c>
      <c r="G492">
        <f>E492*F492</f>
        <v>7200</v>
      </c>
      <c r="H492" t="s">
        <v>53</v>
      </c>
      <c r="I492" t="s">
        <v>31</v>
      </c>
    </row>
    <row r="493" spans="1:9" x14ac:dyDescent="0.35">
      <c r="A493" t="str">
        <f>"ORD"&amp;TEXT(ROW()-2,"0000")</f>
        <v>ORD0491</v>
      </c>
      <c r="B493" s="12">
        <v>46513</v>
      </c>
      <c r="C493" t="s">
        <v>60</v>
      </c>
      <c r="D493" t="s">
        <v>38</v>
      </c>
      <c r="E493">
        <v>12</v>
      </c>
      <c r="F493" s="2">
        <v>2000</v>
      </c>
      <c r="G493">
        <f>E493*F493</f>
        <v>24000</v>
      </c>
      <c r="H493" t="s">
        <v>13</v>
      </c>
      <c r="I493" t="s">
        <v>73</v>
      </c>
    </row>
    <row r="494" spans="1:9" x14ac:dyDescent="0.35">
      <c r="A494" t="str">
        <f>"ORD"&amp;TEXT(ROW()-2,"0000")</f>
        <v>ORD0492</v>
      </c>
      <c r="B494" s="12">
        <v>46514</v>
      </c>
      <c r="C494" t="s">
        <v>34</v>
      </c>
      <c r="D494" t="s">
        <v>29</v>
      </c>
      <c r="E494">
        <v>14</v>
      </c>
      <c r="F494" s="2">
        <v>5500</v>
      </c>
      <c r="G494">
        <f>E494*F494</f>
        <v>77000</v>
      </c>
      <c r="H494" t="s">
        <v>103</v>
      </c>
      <c r="I494" t="s">
        <v>107</v>
      </c>
    </row>
    <row r="495" spans="1:9" x14ac:dyDescent="0.35">
      <c r="A495" t="str">
        <f>"ORD"&amp;TEXT(ROW()-2,"0000")</f>
        <v>ORD0493</v>
      </c>
      <c r="B495" s="12">
        <v>46515</v>
      </c>
      <c r="C495" t="s">
        <v>89</v>
      </c>
      <c r="D495" t="s">
        <v>90</v>
      </c>
      <c r="E495">
        <v>11</v>
      </c>
      <c r="F495" s="2">
        <v>1200</v>
      </c>
      <c r="G495">
        <f>E495*F495</f>
        <v>13200</v>
      </c>
      <c r="H495" t="s">
        <v>13</v>
      </c>
      <c r="I495" t="s">
        <v>66</v>
      </c>
    </row>
    <row r="496" spans="1:9" x14ac:dyDescent="0.35">
      <c r="A496" t="str">
        <f>"ORD"&amp;TEXT(ROW()-2,"0000")</f>
        <v>ORD0494</v>
      </c>
      <c r="B496" s="12">
        <v>46516</v>
      </c>
      <c r="C496" t="s">
        <v>60</v>
      </c>
      <c r="D496" t="s">
        <v>38</v>
      </c>
      <c r="E496">
        <v>15</v>
      </c>
      <c r="F496" s="2">
        <v>2000</v>
      </c>
      <c r="G496">
        <f>E496*F496</f>
        <v>30000</v>
      </c>
      <c r="H496" t="s">
        <v>103</v>
      </c>
      <c r="I496" t="s">
        <v>14</v>
      </c>
    </row>
    <row r="497" spans="1:9" x14ac:dyDescent="0.35">
      <c r="A497" t="str">
        <f>"ORD"&amp;TEXT(ROW()-2,"0000")</f>
        <v>ORD0495</v>
      </c>
      <c r="B497" s="12">
        <v>46517</v>
      </c>
      <c r="C497" t="s">
        <v>21</v>
      </c>
      <c r="D497" t="s">
        <v>22</v>
      </c>
      <c r="E497">
        <v>14</v>
      </c>
      <c r="F497" s="2">
        <v>1000</v>
      </c>
      <c r="G497">
        <f>E497*F497</f>
        <v>14000</v>
      </c>
      <c r="H497" t="s">
        <v>39</v>
      </c>
      <c r="I497" t="s">
        <v>107</v>
      </c>
    </row>
    <row r="498" spans="1:9" x14ac:dyDescent="0.35">
      <c r="A498" t="str">
        <f>"ORD"&amp;TEXT(ROW()-2,"0000")</f>
        <v>ORD0496</v>
      </c>
      <c r="B498" s="12">
        <v>46518</v>
      </c>
      <c r="C498" t="s">
        <v>17</v>
      </c>
      <c r="D498" t="s">
        <v>12</v>
      </c>
      <c r="E498">
        <v>13</v>
      </c>
      <c r="F498" s="2" t="s">
        <v>57</v>
      </c>
      <c r="G498">
        <f>E498*F498</f>
        <v>39000</v>
      </c>
      <c r="H498" t="s">
        <v>43</v>
      </c>
      <c r="I498" t="s">
        <v>76</v>
      </c>
    </row>
    <row r="499" spans="1:9" x14ac:dyDescent="0.35">
      <c r="A499" t="str">
        <f>"ORD"&amp;TEXT(ROW()-2,"0000")</f>
        <v>ORD0497</v>
      </c>
      <c r="B499" s="12">
        <v>46519</v>
      </c>
      <c r="C499" t="s">
        <v>11</v>
      </c>
      <c r="D499" t="s">
        <v>12</v>
      </c>
      <c r="E499">
        <v>10</v>
      </c>
      <c r="F499" s="2">
        <v>1800</v>
      </c>
      <c r="G499">
        <f>E499*F499</f>
        <v>18000</v>
      </c>
      <c r="H499" t="s">
        <v>13</v>
      </c>
      <c r="I499" t="s">
        <v>25</v>
      </c>
    </row>
    <row r="500" spans="1:9" x14ac:dyDescent="0.35">
      <c r="A500" t="str">
        <f>"ORD"&amp;TEXT(ROW()-2,"0000")</f>
        <v>ORD0498</v>
      </c>
      <c r="B500" s="12">
        <v>46520</v>
      </c>
      <c r="C500" t="s">
        <v>17</v>
      </c>
      <c r="D500" t="s">
        <v>12</v>
      </c>
      <c r="E500">
        <v>6</v>
      </c>
      <c r="F500" s="2">
        <v>3000</v>
      </c>
      <c r="G500">
        <f>E500*F500</f>
        <v>18000</v>
      </c>
      <c r="H500" t="s">
        <v>13</v>
      </c>
      <c r="I500" t="s">
        <v>76</v>
      </c>
    </row>
    <row r="501" spans="1:9" x14ac:dyDescent="0.35">
      <c r="A501" t="str">
        <f>"ORD"&amp;TEXT(ROW()-2,"0000")</f>
        <v>ORD0499</v>
      </c>
      <c r="B501" s="12">
        <v>46521</v>
      </c>
      <c r="C501" t="s">
        <v>11</v>
      </c>
      <c r="D501" t="s">
        <v>12</v>
      </c>
      <c r="E501">
        <v>11</v>
      </c>
      <c r="F501" s="2">
        <v>1800</v>
      </c>
      <c r="G501">
        <f>E501*F501</f>
        <v>19800</v>
      </c>
      <c r="H501" t="s">
        <v>79</v>
      </c>
      <c r="I501" t="s">
        <v>66</v>
      </c>
    </row>
    <row r="502" spans="1:9" x14ac:dyDescent="0.35">
      <c r="A502" t="str">
        <f>"ORD"&amp;TEXT(ROW()-2,"0000")</f>
        <v>ORD0500</v>
      </c>
      <c r="B502" s="12">
        <v>46522</v>
      </c>
      <c r="C502" t="s">
        <v>50</v>
      </c>
      <c r="D502" t="s">
        <v>12</v>
      </c>
      <c r="E502">
        <v>13</v>
      </c>
      <c r="F502" s="2">
        <v>2500</v>
      </c>
      <c r="G502">
        <f>E502*F502</f>
        <v>32500</v>
      </c>
      <c r="H502" t="s">
        <v>13</v>
      </c>
      <c r="I502" t="s">
        <v>63</v>
      </c>
    </row>
  </sheetData>
  <mergeCells count="1">
    <mergeCell ref="A1:I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F52E-1A05-4961-9C89-BA21D914E8A9}">
  <dimension ref="A1:L32"/>
  <sheetViews>
    <sheetView topLeftCell="A4" workbookViewId="0">
      <selection activeCell="T6" sqref="T6"/>
    </sheetView>
  </sheetViews>
  <sheetFormatPr defaultRowHeight="14.5" x14ac:dyDescent="0.35"/>
  <cols>
    <col min="1" max="1" width="20.36328125" bestFit="1" customWidth="1"/>
    <col min="2" max="2" width="16.08984375" bestFit="1" customWidth="1"/>
    <col min="5" max="5" width="22.81640625" bestFit="1" customWidth="1"/>
    <col min="6" max="6" width="16.08984375" bestFit="1" customWidth="1"/>
    <col min="8" max="8" width="10.7265625" bestFit="1" customWidth="1"/>
    <col min="9" max="9" width="16.08984375" bestFit="1" customWidth="1"/>
    <col min="11" max="11" width="10.90625" bestFit="1" customWidth="1"/>
    <col min="12" max="12" width="16.08984375" bestFit="1" customWidth="1"/>
    <col min="14" max="14" width="16.08984375" bestFit="1" customWidth="1"/>
    <col min="15" max="15" width="22.81640625" bestFit="1" customWidth="1"/>
    <col min="16" max="16" width="16.08984375" bestFit="1" customWidth="1"/>
    <col min="17" max="17" width="22.81640625" bestFit="1" customWidth="1"/>
    <col min="18" max="18" width="16.08984375" bestFit="1" customWidth="1"/>
  </cols>
  <sheetData>
    <row r="1" spans="1:12" ht="26" x14ac:dyDescent="0.6">
      <c r="A1" s="7" t="s">
        <v>939</v>
      </c>
      <c r="B1" s="3"/>
      <c r="C1" s="3"/>
      <c r="D1" s="3"/>
      <c r="E1" s="3"/>
      <c r="F1" s="3"/>
      <c r="G1" s="3"/>
      <c r="H1" s="3"/>
      <c r="I1" s="3"/>
      <c r="J1" s="3"/>
      <c r="K1" s="3"/>
    </row>
    <row r="3" spans="1:12" x14ac:dyDescent="0.35">
      <c r="A3" s="8" t="s">
        <v>7</v>
      </c>
      <c r="B3" t="s">
        <v>942</v>
      </c>
      <c r="E3" s="8" t="s">
        <v>2</v>
      </c>
      <c r="F3" t="s">
        <v>942</v>
      </c>
      <c r="H3" s="8" t="s">
        <v>3</v>
      </c>
      <c r="I3" t="s">
        <v>942</v>
      </c>
      <c r="K3" s="8" t="s">
        <v>8</v>
      </c>
      <c r="L3" t="s">
        <v>942</v>
      </c>
    </row>
    <row r="4" spans="1:12" x14ac:dyDescent="0.35">
      <c r="A4" s="9" t="s">
        <v>79</v>
      </c>
      <c r="B4" s="10">
        <v>705600</v>
      </c>
      <c r="E4" s="9" t="s">
        <v>89</v>
      </c>
      <c r="F4" s="10">
        <v>1200</v>
      </c>
      <c r="H4" s="9" t="s">
        <v>90</v>
      </c>
      <c r="I4" s="10">
        <v>52800</v>
      </c>
      <c r="K4" s="9" t="s">
        <v>40</v>
      </c>
      <c r="L4" s="10">
        <v>52000</v>
      </c>
    </row>
    <row r="5" spans="1:12" x14ac:dyDescent="0.35">
      <c r="A5" s="9" t="s">
        <v>941</v>
      </c>
      <c r="B5" s="10">
        <v>705600</v>
      </c>
      <c r="E5" s="9" t="s">
        <v>60</v>
      </c>
      <c r="F5" s="10">
        <v>6000</v>
      </c>
      <c r="H5" s="9" t="s">
        <v>38</v>
      </c>
      <c r="I5" s="10">
        <v>72000</v>
      </c>
      <c r="K5" s="9" t="s">
        <v>63</v>
      </c>
      <c r="L5" s="10">
        <v>132800</v>
      </c>
    </row>
    <row r="6" spans="1:12" x14ac:dyDescent="0.35">
      <c r="E6" s="9" t="s">
        <v>34</v>
      </c>
      <c r="F6" s="10">
        <v>38500</v>
      </c>
      <c r="H6" s="9" t="s">
        <v>22</v>
      </c>
      <c r="I6" s="10">
        <v>14000</v>
      </c>
      <c r="K6" s="9" t="s">
        <v>73</v>
      </c>
      <c r="L6" s="10">
        <v>118200</v>
      </c>
    </row>
    <row r="7" spans="1:12" x14ac:dyDescent="0.35">
      <c r="E7" s="9" t="s">
        <v>17</v>
      </c>
      <c r="F7" s="10">
        <v>24000</v>
      </c>
      <c r="H7" s="9" t="s">
        <v>12</v>
      </c>
      <c r="I7" s="10">
        <v>216300</v>
      </c>
      <c r="K7" s="9" t="s">
        <v>14</v>
      </c>
      <c r="L7" s="10">
        <v>49600</v>
      </c>
    </row>
    <row r="8" spans="1:12" x14ac:dyDescent="0.35">
      <c r="E8" s="9" t="s">
        <v>941</v>
      </c>
      <c r="F8" s="10">
        <v>69700</v>
      </c>
      <c r="H8" s="9" t="s">
        <v>29</v>
      </c>
      <c r="I8" s="10">
        <v>350500</v>
      </c>
      <c r="K8" s="9" t="s">
        <v>25</v>
      </c>
      <c r="L8" s="10">
        <v>131900</v>
      </c>
    </row>
    <row r="9" spans="1:12" x14ac:dyDescent="0.35">
      <c r="H9" s="9" t="s">
        <v>941</v>
      </c>
      <c r="I9" s="10">
        <v>705600</v>
      </c>
      <c r="K9" s="9" t="s">
        <v>76</v>
      </c>
      <c r="L9" s="10">
        <v>47200</v>
      </c>
    </row>
    <row r="10" spans="1:12" x14ac:dyDescent="0.35">
      <c r="K10" s="9" t="s">
        <v>107</v>
      </c>
      <c r="L10" s="10">
        <v>82500</v>
      </c>
    </row>
    <row r="11" spans="1:12" x14ac:dyDescent="0.35">
      <c r="K11" s="9" t="s">
        <v>31</v>
      </c>
      <c r="L11" s="10">
        <v>26000</v>
      </c>
    </row>
    <row r="12" spans="1:12" x14ac:dyDescent="0.35">
      <c r="K12" s="9" t="s">
        <v>54</v>
      </c>
      <c r="L12" s="10">
        <v>3600</v>
      </c>
    </row>
    <row r="13" spans="1:12" x14ac:dyDescent="0.35">
      <c r="K13" s="9" t="s">
        <v>66</v>
      </c>
      <c r="L13" s="10">
        <v>61800</v>
      </c>
    </row>
    <row r="14" spans="1:12" x14ac:dyDescent="0.35">
      <c r="K14" s="9" t="s">
        <v>941</v>
      </c>
      <c r="L14" s="10">
        <v>705600</v>
      </c>
    </row>
    <row r="15" spans="1:12" x14ac:dyDescent="0.35">
      <c r="E15" s="8" t="s">
        <v>944</v>
      </c>
      <c r="F15" t="s">
        <v>942</v>
      </c>
    </row>
    <row r="16" spans="1:12" x14ac:dyDescent="0.35">
      <c r="E16" s="9" t="s">
        <v>50</v>
      </c>
      <c r="F16" s="10">
        <v>52500</v>
      </c>
    </row>
    <row r="17" spans="1:6" x14ac:dyDescent="0.35">
      <c r="E17" s="9" t="s">
        <v>89</v>
      </c>
      <c r="F17" s="10">
        <v>52800</v>
      </c>
    </row>
    <row r="18" spans="1:6" x14ac:dyDescent="0.35">
      <c r="E18" s="9" t="s">
        <v>60</v>
      </c>
      <c r="F18" s="10">
        <v>72000</v>
      </c>
    </row>
    <row r="19" spans="1:6" x14ac:dyDescent="0.35">
      <c r="E19" s="9" t="s">
        <v>34</v>
      </c>
      <c r="F19" s="10">
        <v>335500</v>
      </c>
    </row>
    <row r="20" spans="1:6" x14ac:dyDescent="0.35">
      <c r="A20" s="8" t="s">
        <v>943</v>
      </c>
      <c r="B20" t="s">
        <v>942</v>
      </c>
      <c r="E20" s="9" t="s">
        <v>17</v>
      </c>
      <c r="F20" s="10">
        <v>126000</v>
      </c>
    </row>
    <row r="21" spans="1:6" x14ac:dyDescent="0.35">
      <c r="A21" s="13" t="s">
        <v>945</v>
      </c>
      <c r="B21" s="10">
        <v>69700</v>
      </c>
      <c r="E21" s="9" t="s">
        <v>941</v>
      </c>
      <c r="F21" s="10">
        <v>638800</v>
      </c>
    </row>
    <row r="22" spans="1:6" x14ac:dyDescent="0.35">
      <c r="A22" s="13" t="s">
        <v>946</v>
      </c>
      <c r="B22" s="10">
        <v>40000</v>
      </c>
    </row>
    <row r="23" spans="1:6" x14ac:dyDescent="0.35">
      <c r="A23" s="13" t="s">
        <v>947</v>
      </c>
      <c r="B23" s="10">
        <v>173400</v>
      </c>
    </row>
    <row r="24" spans="1:6" x14ac:dyDescent="0.35">
      <c r="A24" s="13" t="s">
        <v>948</v>
      </c>
      <c r="B24" s="10">
        <v>86200</v>
      </c>
    </row>
    <row r="25" spans="1:6" x14ac:dyDescent="0.35">
      <c r="A25" s="13" t="s">
        <v>949</v>
      </c>
      <c r="B25" s="10">
        <v>35800</v>
      </c>
    </row>
    <row r="26" spans="1:6" x14ac:dyDescent="0.35">
      <c r="A26" s="13" t="s">
        <v>950</v>
      </c>
      <c r="B26" s="10">
        <v>18600</v>
      </c>
    </row>
    <row r="27" spans="1:6" x14ac:dyDescent="0.35">
      <c r="A27" s="13" t="s">
        <v>951</v>
      </c>
      <c r="B27" s="10">
        <v>61500</v>
      </c>
    </row>
    <row r="28" spans="1:6" x14ac:dyDescent="0.35">
      <c r="A28" s="13" t="s">
        <v>952</v>
      </c>
      <c r="B28" s="10">
        <v>39400</v>
      </c>
    </row>
    <row r="29" spans="1:6" x14ac:dyDescent="0.35">
      <c r="A29" s="13" t="s">
        <v>953</v>
      </c>
      <c r="B29" s="10">
        <v>44500</v>
      </c>
    </row>
    <row r="30" spans="1:6" x14ac:dyDescent="0.35">
      <c r="A30" s="13" t="s">
        <v>954</v>
      </c>
      <c r="B30" s="10">
        <v>49500</v>
      </c>
    </row>
    <row r="31" spans="1:6" x14ac:dyDescent="0.35">
      <c r="A31" s="13" t="s">
        <v>955</v>
      </c>
      <c r="B31" s="10">
        <v>87000</v>
      </c>
    </row>
    <row r="32" spans="1:6" x14ac:dyDescent="0.35">
      <c r="A32" s="13" t="s">
        <v>941</v>
      </c>
      <c r="B32" s="10">
        <v>705600</v>
      </c>
    </row>
  </sheetData>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4356-9817-4FF2-B14B-FC960068C6DC}">
  <dimension ref="A1:AA18"/>
  <sheetViews>
    <sheetView showGridLines="0" tabSelected="1" topLeftCell="C1" workbookViewId="0">
      <selection sqref="A1:AA1"/>
    </sheetView>
  </sheetViews>
  <sheetFormatPr defaultRowHeight="14.5" x14ac:dyDescent="0.35"/>
  <cols>
    <col min="1" max="1" width="12.08984375" bestFit="1" customWidth="1"/>
    <col min="2" max="2" width="22.81640625" customWidth="1"/>
    <col min="4" max="4" width="12.6328125" customWidth="1"/>
    <col min="5" max="5" width="13" bestFit="1" customWidth="1"/>
    <col min="6" max="6" width="11.1796875" customWidth="1"/>
    <col min="7" max="7" width="21.54296875" customWidth="1"/>
  </cols>
  <sheetData>
    <row r="1" spans="1:27" ht="31" x14ac:dyDescent="0.7">
      <c r="A1" s="16" t="s">
        <v>940</v>
      </c>
      <c r="B1" s="16"/>
      <c r="C1" s="16"/>
      <c r="D1" s="16"/>
      <c r="E1" s="16"/>
      <c r="F1" s="16"/>
      <c r="G1" s="16"/>
      <c r="H1" s="16"/>
      <c r="I1" s="16"/>
      <c r="J1" s="16"/>
      <c r="K1" s="16"/>
      <c r="L1" s="16"/>
      <c r="M1" s="16"/>
      <c r="N1" s="16"/>
      <c r="O1" s="16"/>
      <c r="P1" s="16"/>
      <c r="Q1" s="16"/>
      <c r="R1" s="16"/>
      <c r="S1" s="16"/>
      <c r="T1" s="16"/>
      <c r="U1" s="16"/>
      <c r="V1" s="16"/>
      <c r="W1" s="16"/>
      <c r="X1" s="16"/>
      <c r="Y1" s="16"/>
      <c r="Z1" s="16"/>
      <c r="AA1" s="16"/>
    </row>
    <row r="2" spans="1:27" ht="28.5" x14ac:dyDescent="0.65">
      <c r="A2" s="18" t="s">
        <v>959</v>
      </c>
      <c r="B2" s="17" t="s">
        <v>6</v>
      </c>
      <c r="C2" s="17" t="s">
        <v>956</v>
      </c>
      <c r="E2" s="17" t="s">
        <v>957</v>
      </c>
      <c r="G2" s="17" t="s">
        <v>958</v>
      </c>
      <c r="H2" s="17" t="s">
        <v>961</v>
      </c>
    </row>
    <row r="3" spans="1:27" ht="28.5" x14ac:dyDescent="0.65">
      <c r="A3" s="18" t="s">
        <v>960</v>
      </c>
      <c r="B3" s="20">
        <f>SUM('Data Cleaning'!G3:G502)</f>
        <v>8605400</v>
      </c>
      <c r="C3" s="21">
        <v>500</v>
      </c>
      <c r="E3" s="20">
        <f>AVERAGE('Data Cleaning'!G3:G502)</f>
        <v>17210.8</v>
      </c>
      <c r="G3" s="19">
        <v>12</v>
      </c>
      <c r="H3" s="19">
        <f>SUM('Data Cleaning'!E3:E502)</f>
        <v>3783</v>
      </c>
    </row>
    <row r="5" spans="1:27" ht="21" x14ac:dyDescent="0.5">
      <c r="B5" s="22" t="s">
        <v>962</v>
      </c>
      <c r="F5" s="22" t="s">
        <v>963</v>
      </c>
      <c r="L5" s="22" t="s">
        <v>964</v>
      </c>
    </row>
    <row r="6" spans="1:27" ht="31" x14ac:dyDescent="0.7">
      <c r="B6" s="14"/>
    </row>
    <row r="7" spans="1:27" ht="23.5" x14ac:dyDescent="0.55000000000000004">
      <c r="B7" s="15"/>
    </row>
    <row r="10" spans="1:27" ht="31" x14ac:dyDescent="0.7">
      <c r="B10" s="14"/>
    </row>
    <row r="11" spans="1:27" ht="23.5" x14ac:dyDescent="0.55000000000000004">
      <c r="B11" s="15"/>
    </row>
    <row r="18" spans="2:2" ht="21" x14ac:dyDescent="0.5">
      <c r="B18" s="22" t="s">
        <v>965</v>
      </c>
    </row>
  </sheetData>
  <mergeCells count="1">
    <mergeCell ref="A1:AA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Messy Sales_Data</vt:lpstr>
      <vt:lpstr>Data Cleaning</vt:lpstr>
      <vt:lpstr>Analysis</vt:lpstr>
      <vt:lpstr>Dashboard</vt:lpstr>
      <vt:lpstr>CleanedData</vt:lpstr>
      <vt:lpstr>kishd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igbaji lawrence mbenke</cp:lastModifiedBy>
  <dcterms:created xsi:type="dcterms:W3CDTF">2026-07-01T11:42:29Z</dcterms:created>
  <dcterms:modified xsi:type="dcterms:W3CDTF">2026-07-14T17:57:46Z</dcterms:modified>
</cp:coreProperties>
</file>